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24f7fc288d4295" /></Relationships>
</file>

<file path=xl/workbook.xml><?xml version="1.0" encoding="utf-8"?>
<x:workbook xmlns:x="http://schemas.openxmlformats.org/spreadsheetml/2006/main">
  <x:sheets>
    <x:sheet xmlns:r="http://schemas.openxmlformats.org/officeDocument/2006/relationships" name="Database" sheetId="1" r:id="Raf53e1cfceb74fb5"/>
    <x:sheet xmlns:r="http://schemas.openxmlformats.org/officeDocument/2006/relationships" name="Removed_from_core" sheetId="2" r:id="Rcc177ddbd2e642c8"/>
    <x:sheet xmlns:r="http://schemas.openxmlformats.org/officeDocument/2006/relationships" name="Summary_by_Land" sheetId="3" r:id="Ra1e830afa0dc4ee2"/>
    <x:sheet xmlns:r="http://schemas.openxmlformats.org/officeDocument/2006/relationships" name="Sensitivity_NU" sheetId="4" r:id="Rb2fb31cfee844a16"/>
    <x:sheet xmlns:r="http://schemas.openxmlformats.org/officeDocument/2006/relationships" name="AGS_Audit" sheetId="5" r:id="R6dc3aeea6d2646e3"/>
  </x:sheets>
</x:workbook>
</file>

<file path=xl/sharedStrings.xml><?xml version="1.0" encoding="utf-8"?>
<x:sst xmlns:x="http://schemas.openxmlformats.org/spreadsheetml/2006/main">
  <x:si>
    <x:t xml:space="preserve">Facility_ID</x:t>
  </x:si>
  <x:si>
    <x:t xml:space="preserve">State_Code</x:t>
  </x:si>
  <x:si>
    <x:t xml:space="preserve">State_Name</x:t>
  </x:si>
  <x:si>
    <x:t xml:space="preserve">Facility_Name</x:t>
  </x:si>
  <x:si>
    <x:t xml:space="preserve">Facility_Type</x:t>
  </x:si>
  <x:si>
    <x:t xml:space="preserve">Operator</x:t>
  </x:si>
  <x:si>
    <x:t xml:space="preserve">City</x:t>
  </x:si>
  <x:si>
    <x:t xml:space="preserve">AGS_Code</x:t>
  </x:si>
  <x:si>
    <x:t xml:space="preserve">Address</x:t>
  </x:si>
  <x:si>
    <x:t xml:space="preserve">Latitude</x:t>
  </x:si>
  <x:si>
    <x:t xml:space="preserve">Longitude</x:t>
  </x:si>
  <x:si>
    <x:t xml:space="preserve">Capacity</x:t>
  </x:si>
  <x:si>
    <x:t xml:space="preserve">Source_URL</x:t>
  </x:si>
  <x:si>
    <x:t xml:space="preserve">Coord_Precision</x:t>
  </x:si>
  <x:si>
    <x:t xml:space="preserve">Geocode_Note</x:t>
  </x:si>
  <x:si>
    <x:t xml:space="preserve">DE-BB-02</x:t>
  </x:si>
  <x:si>
    <x:t xml:space="preserve">BB</x:t>
  </x:si>
  <x:si>
    <x:t xml:space="preserve">Brandenburg</x:t>
  </x:si>
  <x:si>
    <x:t xml:space="preserve">ZABH Außenstelle Frankfurt (Oder)</x:t>
  </x:si>
  <x:si>
    <x:t xml:space="preserve">Reception-facility branch site (Außenstelle EAE)</x:t>
  </x:si>
  <x:si>
    <x:t xml:space="preserve">ZABH (Brandenburg Ministry of the Interior)</x:t>
  </x:si>
  <x:si>
    <x:t xml:space="preserve">Frankfurt (Oder)</x:t>
  </x:si>
  <x:si>
    <x:t xml:space="preserve">UNVERIFIED — address not found (historically Karl-Ritter-Platz)</x:t>
  </x:si>
  <x:si>
    <x:t xml:space="preserve">UNVERIFIED — the source could not be confirmed (drk-mohs.de contains NO asylum or migration services; the original attribution to a "DRK operator page" was wrong) || TED notice 374104-2024 (evidence of ZABH operating a Frankfurt (Oder) site as of 2024): https://ted.europa.eu/de/notice/374104-2024/pdf || TED notice 374104-2024 (ZABH Frankfurt/Oder site active 2024): https://ted.europa.eu/de/notice/374104-2024/pdf</x:t>
  </x:si>
  <x:si>
    <x:t xml:space="preserve">municipality</x:t>
  </x:si>
  <x:si>
    <x:t xml:space="preserve">DE-BB-03</x:t>
  </x:si>
  <x:si>
    <x:t xml:space="preserve">ZABH Außenstelle Wünsdorf</x:t>
  </x:si>
  <x:si>
    <x:t xml:space="preserve">Wünsdorf (Zossen)</x:t>
  </x:si>
  <x:si>
    <x:t xml:space="preserve">ZABH-Außenstelle Moscheestr. / Hauptstr., 15806 Zossen / OT Wünsdorf</x:t>
  </x:si>
  <x:si>
    <x:t xml:space="preserve">drk-teltow-flaeming.de (operator page, 2026) || Staatskanzlei Brandenburg press release, 13.11.2023, confirms address 'ZABH, Hauptallee 116, 15806 Zossen / OT Wünsdorf' (Erweiterungsbau der EAE): https://www.brandenburg.de/media_fast/365/231113%20Redaktioneller%20Hinweis%20Teltow-Fl%C3%A4ming.pdf ; also cf. TED notice 374104-2024, which separately names 'ZABH-Außenstelle Moscheestr. / Hauptstr., 15806 Zossen/Wünsdorf': https://ted.europa.eu/de/notice/374104-2024/pdf || Staatskanzlei Brandenburg press release, 13.11.2023, confirms address 'Hauptallee 116, 15806 Zossen/OT Wünsdorf': https://www.brandenburg.de/media_fast/365/231113%20Redaktioneller%20Hinweis%20Teltow-Fl%C3%A4ming.pdf ; cf. also TED 374104-2024 naming 'Moscheestr./Hauptstr.' for the same site: https://ted.europa.eu/de/notice/374104-2024/pdf</x:t>
  </x:si>
  <x:si>
    <x:t xml:space="preserve">postcode_centroid</x:t>
  </x:si>
  <x:si>
    <x:t xml:space="preserve">Address taken from the postal address in TED contract notice 374104-2024 (medical care for the Brandenburg initial reception facility at the sites Eisenhüttenstadt, Wünsdorf and Frankfurt (Oder)), which is the source closest to the reference date. A Staatskanzlei press release of 13.11.2023 names "Hauptallee 116, 15806 Zossen/OT Wünsdorf" for the extension building; both lie in the Waldstadt district of Wünsdorf. NOTE: the previous coordinate was the centroid of the municipality of Zossen, i.e. the town centre, while the facility is in the Wünsdorf district about 7.5 km away — this was a substantive location error, not merely imprecision. || geocoded to the centroid of the postal code area; source: WZBSocialScienceCenter/plz_geocoord (WZB Berlin Social Science Center), file plz_geocoord.csv (postal code 15806). INTERIM: replace with a street-level geocode of the address above.</x:t>
  </x:si>
  <x:si>
    <x:t xml:space="preserve">DE-BB-04</x:t>
  </x:si>
  <x:si>
    <x:t xml:space="preserve">ZABH Eisenhüttenstadt</x:t>
  </x:si>
  <x:si>
    <x:t xml:space="preserve">Initial reception facility (ZABH)</x:t>
  </x:si>
  <x:si>
    <x:t xml:space="preserve">Eisenhüttenstadt</x:t>
  </x:si>
  <x:si>
    <x:t xml:space="preserve">Poststrasse 72, 15890 Eisenhuettenstadt</x:t>
  </x:si>
  <x:si>
    <x:t xml:space="preserve">zabh.brandenburg.de || ZABH job postings on official Brandenburg government domains independently confirm the address Poststraße 72, 15890 Eisenhüttenstadt, e.g. https://mik.brandenburg.de/media_fast/227/Kz.%2017_24%20AL1.pdf and https://www.brandenburg.de/media_fast/213/Kz%2010_22%20MA%20Kraftfahrer%20ID.pdf || ZABH job postings on official Brandenburg domains confirm address Poststraße 72, 15890 Eisenhüttenstadt: https://mik.brandenburg.de/media_fast/227/Kz.%2017_24%20AL1.pdf</x:t>
  </x:si>
  <x:si>
    <x:t xml:space="preserve">building</x:t>
  </x:si>
  <x:si>
    <x:t xml:space="preserve">building-level geocode via Nominatim/OpenStreetMap (match building/yes), moved 3.09 km from the previous point</x:t>
  </x:si>
  <x:si>
    <x:t xml:space="preserve">DE-BW-01</x:t>
  </x:si>
  <x:si>
    <x:t xml:space="preserve">BW</x:t>
  </x:si>
  <x:si>
    <x:t xml:space="preserve">Baden-Württemberg</x:t>
  </x:si>
  <x:si>
    <x:t xml:space="preserve">Ankunftszentrum Heidelberg</x:t>
  </x:si>
  <x:si>
    <x:t xml:space="preserve">Arrival centre (Ankunftszentrum)</x:t>
  </x:si>
  <x:si>
    <x:t xml:space="preserve">Regional councils of Baden-Württemberg (Ministry of Justice and Migration)</x:t>
  </x:si>
  <x:si>
    <x:t xml:space="preserve">Heidelberg</x:t>
  </x:si>
  <x:si>
    <x:t xml:space="preserve">Patrick-Henry-Village, Grasweg, 69124 Heidelberg</x:t>
  </x:si>
  <x:si>
    <x:t xml:space="preserve">landtag-bw.de doc. 17/7561 (30.09.2024) || Official City of Heidelberg page confirms Patrick-Henry-Village location/function: https://www.heidelberg.de/Fluechtlingshilfe,Lde/Startseite/registrierzentrum+phv.html</x:t>
  </x:si>
  <x:si>
    <x:t xml:space="preserve">site_approx</x:t>
  </x:si>
  <x:si>
    <x:t xml:space="preserve">DE-BW-02</x:t>
  </x:si>
  <x:si>
    <x:t xml:space="preserve">EA Eggenstein-Leopoldshafen</x:t>
  </x:si>
  <x:si>
    <x:t xml:space="preserve">Reception facility (EA) — accommodation only</x:t>
  </x:si>
  <x:si>
    <x:t xml:space="preserve">Eggenstein-Leopoldshafen</x:t>
  </x:si>
  <x:si>
    <x:t xml:space="preserve">UNVERIFIED — to be established (state parliament doc. 17/7561 names the facility without an address)</x:t>
  </x:si>
  <x:si>
    <x:t xml:space="preserve">landtag-bw.de doc. 17/7561 (30.09.2024) || Official RP Karlsruhe page confirms Eggenstein-Leopoldshafen is part of RPK's current Erstaufnahme portfolio: https://rp.baden-wuerttemberg.de/rpk/abt9/ref94/api/pdf</x:t>
  </x:si>
  <x:si>
    <x:t xml:space="preserve">DE-BW-03</x:t>
  </x:si>
  <x:si>
    <x:t xml:space="preserve">EA Giengen</x:t>
  </x:si>
  <x:si>
    <x:t xml:space="preserve">Reception facility (EA)</x:t>
  </x:si>
  <x:si>
    <x:t xml:space="preserve">Giengen an der Brenz</x:t>
  </x:si>
  <x:si>
    <x:t xml:space="preserve">UNVERIFIED — address not found</x:t>
  </x:si>
  <x:si>
    <x:t xml:space="preserve">landtag-bw.de doc. 17/7561 (30.09.2024), occupancy table || Official RP Stuttgart press release (09.04.2020) confirms Giengen as Außenstelle of LEA Ellwangen: https://rp.baden-wuerttemberg.de/rps/presse/artikel/aussenstelle-der-landeserstaufnahmeeinrichtung-des-regierungspraesidiums-stuttgart-in-giengen-wird-unter-quarantaene-gestellt/api/pdf</x:t>
  </x:si>
  <x:si>
    <x:t xml:space="preserve">DE-BW-04</x:t>
  </x:si>
  <x:si>
    <x:t xml:space="preserve">EA Kornwestheim</x:t>
  </x:si>
  <x:si>
    <x:t xml:space="preserve">Regierungspräsidium Stuttgart</x:t>
  </x:si>
  <x:si>
    <x:t xml:space="preserve">Kornwestheim</x:t>
  </x:si>
  <x:si>
    <x:t xml:space="preserve">Villeneuvestraße 92, 70806 Kornwestheim</x:t>
  </x:si>
  <x:si>
    <x:t xml:space="preserve">rps.baden-wuerttemberg.de/presse/artikel/erstaufnahmeeinrichtung-des-landes-in-der-villeneuvestrasse-92-eingeweiht/ || AGS 08118046 per Destatis Zensus 2011 (Regionalschlüssel 081180046046); coordinates geocoded to the exact address Villeneuvestraße 92, 70806 Kornwestheim, 09/2026 by Claude.</x:t>
  </x:si>
  <x:si>
    <x:t xml:space="preserve">DE-BW-05</x:t>
  </x:si>
  <x:si>
    <x:t xml:space="preserve">EA Schwetzingen</x:t>
  </x:si>
  <x:si>
    <x:t xml:space="preserve">Schwetzingen</x:t>
  </x:si>
  <x:si>
    <x:t xml:space="preserve">Tompkins-Barracks, Friedrichsfelder Landstraße 34, 68372 Schwetzingen</x:t>
  </x:si>
  <x:si>
    <x:t xml:space="preserve">landtag-bw.de doc. 17/7561 (30.09.2024); Vergabeportal (Friedrichsfelder Landstr. 34) || Same RP Karlsruhe page explicitly calls Schwetzingen 'wieder in Betrieb genommene Erstaufnahmeeinrichtung Tompkins Barracks': https://rp.baden-wuerttemberg.de/rpk/abt9/ref94/api/pdf</x:t>
  </x:si>
  <x:si>
    <x:t xml:space="preserve">DE-BW-06</x:t>
  </x:si>
  <x:si>
    <x:t xml:space="preserve">EA Tübingen</x:t>
  </x:si>
  <x:si>
    <x:t xml:space="preserve">Tübingen</x:t>
  </x:si>
  <x:si>
    <x:t xml:space="preserve">landtag-bw.de doc. 17/7561 (30.09.2024), occupancy table</x:t>
  </x:si>
  <x:si>
    <x:t xml:space="preserve">DE-BW-07</x:t>
  </x:si>
  <x:si>
    <x:t xml:space="preserve">LEA Ellwangen</x:t>
  </x:si>
  <x:si>
    <x:t xml:space="preserve">State initial reception facility (LEA)</x:t>
  </x:si>
  <x:si>
    <x:t xml:space="preserve">Ellwangen</x:t>
  </x:si>
  <x:si>
    <x:t xml:space="preserve">Georg-Elser-Straße 2, 73479 Ellwangen</x:t>
  </x:si>
  <x:si>
    <x:t xml:space="preserve">landtag-bw.de doc. 17/7561 (30.09.2024); bamf.de (Adressbestätigung) || Landtag-BW Drucksache 17/10041, matches existing Audit_Note citation: https://www.landtag-bw.de/resource/blob/610866/86918995ecf89e316a33dcfc36780666/17_10041.pdf</x:t>
  </x:si>
  <x:si>
    <x:t xml:space="preserve">street</x:t>
  </x:si>
  <x:si>
    <x:t xml:space="preserve">re-geocoded with a structured Nominatim query (street/postcode/city) after the free-text query had returned a different street; road Georg-Elser-Straße, postcode 73479, match amenity/social_facility, moved 1.28 km</x:t>
  </x:si>
  <x:si>
    <x:t xml:space="preserve">DE-BW-08</x:t>
  </x:si>
  <x:si>
    <x:t xml:space="preserve">LEA Freiburg</x:t>
  </x:si>
  <x:si>
    <x:t xml:space="preserve">Freiburg</x:t>
  </x:si>
  <x:si>
    <x:t xml:space="preserve">Muellheimer Strasse 7, 79115 Freiburg</x:t>
  </x:si>
  <x:si>
    <x:t xml:space="preserve">landtag-bw.de doc. 17/7561 (30.09.2024); Stuttgarter Zeitung 2023 (historical capacity figure) || Official baden-wuerttemberg.de press release, verbatim 'Aufnahmekapazität von 800 Plätzen': https://www.baden-wuerttemberg.de/de/service/presse/pressemitteilung/pid/antrittsbesuch-in-der-erstaufnahmeeinrichtung-in-freiburg ; a more recent (2024/25) job posting cites 900: https://kh-freiburg.de/jobs/jobs-soziales/949-Praxisstellenbeschreibung%20UVSB%20LEA%20Fr%204_24.pdf</x:t>
  </x:si>
  <x:si>
    <x:t xml:space="preserve">building-level geocode via Nominatim/OpenStreetMap (match building/yes), moved 0.42 km from the previous point</x:t>
  </x:si>
  <x:si>
    <x:t xml:space="preserve">DE-BW-09</x:t>
  </x:si>
  <x:si>
    <x:t xml:space="preserve">LEA Karlsruhe</x:t>
  </x:si>
  <x:si>
    <x:t xml:space="preserve">Karlsruhe</x:t>
  </x:si>
  <x:si>
    <x:t xml:space="preserve">Durlacher Allee 100, 76137 Karlsruhe</x:t>
  </x:si>
  <x:si>
    <x:t xml:space="preserve">landtag-bw.de doc. 17/7561 (30.09.2024) || Official, current RP Karlsruhe page confirms the three-site LEA Karlsruhe structure verbatim: https://rp.baden-wuerttemberg.de/rpk/abt9/ref94/api/pdf</x:t>
  </x:si>
  <x:si>
    <x:t xml:space="preserve">building-level geocode via Nominatim/OpenStreetMap (match amenity/social_facility), moved 0.23 km from the previous point</x:t>
  </x:si>
  <x:si>
    <x:t xml:space="preserve">DE-BW-10</x:t>
  </x:si>
  <x:si>
    <x:t xml:space="preserve">LEA Karlsruhe — Felsstraße</x:t>
  </x:si>
  <x:si>
    <x:t xml:space="preserve">State initial reception facility (LEA) — site</x:t>
  </x:si>
  <x:si>
    <x:t xml:space="preserve">Felsstraße 2–4, 76185 Karlsruhe</x:t>
  </x:si>
  <x:si>
    <x:t xml:space="preserve">landtag-bw.de doc. 17/7561 (30.09.2024); Vergabeportal (Felsstraße 2-4)</x:t>
  </x:si>
  <x:si>
    <x:t xml:space="preserve">DE-BW-11</x:t>
  </x:si>
  <x:si>
    <x:t xml:space="preserve">LEA Karlsruhe — Sophienstraße (Christian-Griesbach-Haus)</x:t>
  </x:si>
  <x:si>
    <x:t xml:space="preserve">Sophienstraße 193, 76185 Karlsruhe</x:t>
  </x:si>
  <x:si>
    <x:t xml:space="preserve">landtag-bw.de doc. 17/7561 (30.09.2024); Vergabeportal (Sophienstraße 193)</x:t>
  </x:si>
  <x:si>
    <x:t xml:space="preserve">DE-BW-12</x:t>
  </x:si>
  <x:si>
    <x:t xml:space="preserve">LEA Sigmaringen</x:t>
  </x:si>
  <x:si>
    <x:t xml:space="preserve">Sigmaringen</x:t>
  </x:si>
  <x:si>
    <x:t xml:space="preserve">Graf-Stauffenberg-Kaserne, Binger Str. 28, 72488 Sigmaringen</x:t>
  </x:si>
  <x:si>
    <x:t xml:space="preserve">landtag-bw.de doc. 17/7561 (30.09.2024) || Official, current RP Tübingen page, verbatim 'Platz für 875 Personen' — exact match: https://rp.baden-wuerttemberg.de/rpt/abt1/ref152/seiten/lea-sigmaringen/api/pdf</x:t>
  </x:si>
  <x:si>
    <x:t xml:space="preserve">retry (address, umlauts restored): building-level geocode via Nominatim/OpenStreetMap (match building/yes), moved 3.19 km from the previous point; OSM place: Sigmaringen, postcode 72488</x:t>
  </x:si>
  <x:si>
    <x:t xml:space="preserve">DE-BY-01</x:t>
  </x:si>
  <x:si>
    <x:t xml:space="preserve">BY</x:t>
  </x:si>
  <x:si>
    <x:t xml:space="preserve">Bayern</x:t>
  </x:si>
  <x:si>
    <x:t xml:space="preserve">ANKER Schwaben — Augsburg Kobelweg</x:t>
  </x:si>
  <x:si>
    <x:t xml:space="preserve">Accommodation dependency (Unterkunfts-Dependance)</x:t>
  </x:si>
  <x:si>
    <x:t xml:space="preserve">District governments (Regierungen der Bezirke), Bavarian Ministry of the Interior</x:t>
  </x:si>
  <x:si>
    <x:t xml:space="preserve">Augsburg</x:t>
  </x:si>
  <x:si>
    <x:t xml:space="preserve">Kobelweg 82a, Augsburg (Kriegshaber)</x:t>
  </x:si>
  <x:si>
    <x:t xml:space="preserve">web.archive.org/web/20230321115136/https://www.staz.de/region/augsburg-oberhausen/lokales/kobelweg-fluechtlinge-einziehen-id139465.html (persönlich vom Nutzer verifiziert, 26.08.2018, 'wieder einziehen' — bestätigt Vorgeschichte 2016)</x:t>
  </x:si>
  <x:si>
    <x:t xml:space="preserve">DE-BY-02</x:t>
  </x:si>
  <x:si>
    <x:t xml:space="preserve">ANKER Schwaben — Günzburg</x:t>
  </x:si>
  <x:si>
    <x:t xml:space="preserve">Günzburg</x:t>
  </x:si>
  <x:si>
    <x:t xml:space="preserve">Maria-Merian-Straße, Günzburg (ehem. Prinz-Eugen-Kaserne, Hausnummer unbestätigt)</x:t>
  </x:si>
  <x:si>
    <x:t xml:space="preserve">regierung.schwaben.bayern.de/presse/pressemitteilungen/024705/index.html (official press release, Regierung von Schwaben, 05.09.2023; personally verified by the dataset owner)</x:t>
  </x:si>
  <x:si>
    <x:t xml:space="preserve">street-level geocode via Nominatim/OpenStreetMap (match highway/residential), moved 0.01 km from the previous point</x:t>
  </x:si>
  <x:si>
    <x:t xml:space="preserve">DE-BY-03</x:t>
  </x:si>
  <x:si>
    <x:t xml:space="preserve">ANKER Schwaben — Kempten</x:t>
  </x:si>
  <x:si>
    <x:t xml:space="preserve">Kempten (Allgäu)</x:t>
  </x:si>
  <x:si>
    <x:t xml:space="preserve">Kaufbeurer Str. 80, 87437 Kempten</x:t>
  </x:si>
  <x:si>
    <x:t xml:space="preserve">procurement portal (security-services tender 07/2024, Kaufbeurer Str. 80) || Real Bayern Landtag Drucksache 19/7276 (23.06.2025) confirms a NEW ANKER-Dependance Kempten (former Ari-Kaserne, up to 380 places) had NOT yet been occupied as of June 2025: https://www.bayern.landtag.de/www/ElanTextAblage_WP19/Drucksachen/Basisdrucksachen/0000006000/0000006220_010.pdf</x:t>
  </x:si>
  <x:si>
    <x:t xml:space="preserve">DE-BY-04</x:t>
  </x:si>
  <x:si>
    <x:t xml:space="preserve">ANKER Schwaben — Steinerne Furt 75</x:t>
  </x:si>
  <x:si>
    <x:t xml:space="preserve">Steinerne Furt 75, 86167 Augsburg</x:t>
  </x:si>
  <x:si>
    <x:t xml:space="preserve">staz.de/.../zweite-anker-dependance-steinernen-furt-geht-betrieb-id232308.html and presse-augsburg.de/.../763757 (beide vom 30.11.2021, zwei unabhängige Medien, identische Zahlen — Seiten aktuell nicht direkt/über Wayback abrufbar, NUR per Suchausschnitt bestätigt) || Current (2026) RoB security-tender listing gives a COMBINED capacity of up to 451 places for Steinerne Furt 75/77 together: https://www.patterno.de/en/ausschreibungen/tender/sicherheitsdienste-fuer-anker-dependance-in-muenchen-muenchen-kpnzuo2geu35e5wsm4pubosk</x:t>
  </x:si>
  <x:si>
    <x:t xml:space="preserve">DE-BY-05</x:t>
  </x:si>
  <x:si>
    <x:t xml:space="preserve">ANKER Schwaben — Steinerne Furt 77</x:t>
  </x:si>
  <x:si>
    <x:t xml:space="preserve">Steinerne Furt 77, 86167 Augsburg</x:t>
  </x:si>
  <x:si>
    <x:t xml:space="preserve">staz.de/.../zweite-anker-dependance-steinernen-furt-geht-betrieb-id232308.html and presse-augsburg.de/.../763757 (beide vom 30.11.2021, zwei unabhängige Medien, identische Zahlen — Seiten aktuell nicht direkt/über Wayback abrufbar, NUR per Suchausschnitt bestätigt)</x:t>
  </x:si>
  <x:si>
    <x:t xml:space="preserve">DE-BY-06</x:t>
  </x:si>
  <x:si>
    <x:t xml:space="preserve">ANKER Schwaben — Untermeitingen</x:t>
  </x:si>
  <x:si>
    <x:t xml:space="preserve">Untermeitingen</x:t>
  </x:si>
  <x:si>
    <x:t xml:space="preserve">Gutenbergstraße 5, 86836 Untermeitingen</x:t>
  </x:si>
  <x:si>
    <x:t xml:space="preserve">procurement portal (security-services tender 2024, Gutenbergstraße 5)</x:t>
  </x:si>
  <x:si>
    <x:t xml:space="preserve">DE-BY-07</x:t>
  </x:si>
  <x:si>
    <x:t xml:space="preserve">AnKER Bamberg</x:t>
  </x:si>
  <x:si>
    <x:t xml:space="preserve">ANKER centre (main site)</x:t>
  </x:si>
  <x:si>
    <x:t xml:space="preserve">Bamberg</x:t>
  </x:si>
  <x:si>
    <x:t xml:space="preserve">Erlenweg 4, 96050 Bamberg</x:t>
  </x:si>
  <x:si>
    <x:t xml:space="preserve">bayern.landtag.de doc. 19/178 (07.02.2024); regierung.oberfranken.bayern.de (Erlenweg 4); Vergabeportal || Drucksache 19/4445 (12/2024), exact match to existing Audit_Note citation: https://www.bayern.landtag.de/www/ElanTextAblage_WP19/Drucksachen/Basisdrucksachen/0000003000/0000003283_015.pdf ; Drucksache 19/354 (01/2024), verbatim closure-agreement text: https://www.bayern.landtag.de/www/ElanTextAblage_WP19/Drucksachen/Basisdrucksachen/0000000001/0000000333.pdf ; Drucksache 19/4713 (01/2025), official occupancy table 2015-2024: https://www.bayern.landtag.de/www/ElanTextAblage_WP19/Drucksachen/Basisdrucksachen/0000004000/0000004489_012.pdf</x:t>
  </x:si>
  <x:si>
    <x:t xml:space="preserve">building-level geocode via Nominatim/OpenStreetMap (match building/yes), moved 1.84 km from the previous point</x:t>
  </x:si>
  <x:si>
    <x:t xml:space="preserve">DE-BY-08</x:t>
  </x:si>
  <x:si>
    <x:t xml:space="preserve">AnKER Deggendorf</x:t>
  </x:si>
  <x:si>
    <x:t xml:space="preserve">Deggendorf</x:t>
  </x:si>
  <x:si>
    <x:t xml:space="preserve">Stadtfeldstraße 11, 94469 Deggendorf</x:t>
  </x:si>
  <x:si>
    <x:t xml:space="preserve">bayern.landtag.de doc. 19/178 (07.02.2024) || Drucksache 18/25364, official capacity+occupancy table (Deggendorf 501 politically-agreed cap): https://www.bayern.landtag.de/www/ElanTextAblage_WP18/Drucksachen/Basisdrucksachen/0000015500/0000015744_005.pdf</x:t>
  </x:si>
  <x:si>
    <x:t xml:space="preserve">DE-BY-09</x:t>
  </x:si>
  <x:si>
    <x:t xml:space="preserve">AnKER Deggendorf — Dependance Hengersberg</x:t>
  </x:si>
  <x:si>
    <x:t xml:space="preserve">Hengersberg</x:t>
  </x:si>
  <x:si>
    <x:t xml:space="preserve">UNVERIFIED — address not published</x:t>
  </x:si>
  <x:si>
    <x:t xml:space="preserve">ausschreibungen-deutschland.de / tender-service.de (Reinigungs-/Verpflegungsausschreibungen Reg. Niederbayern 2019-2023)</x:t>
  </x:si>
  <x:si>
    <x:t xml:space="preserve">DE-BY-10</x:t>
  </x:si>
  <x:si>
    <x:t xml:space="preserve">AnKER Deggendorf — Dependance Osterhofen</x:t>
  </x:si>
  <x:si>
    <x:t xml:space="preserve">Osterhofen</x:t>
  </x:si>
  <x:si>
    <x:t xml:space="preserve">ausschreibungen-deutschland.de / tender-service.de (Reg. Niederbayern 2019-2023)</x:t>
  </x:si>
  <x:si>
    <x:t xml:space="preserve">DE-BY-11</x:t>
  </x:si>
  <x:si>
    <x:t xml:space="preserve">AnKER Deggendorf — Dependance Stephansposching</x:t>
  </x:si>
  <x:si>
    <x:t xml:space="preserve">Stephansposching</x:t>
  </x:si>
  <x:si>
    <x:t xml:space="preserve">DE-BY-12</x:t>
  </x:si>
  <x:si>
    <x:t xml:space="preserve">AnKER Fürstenfeldbruck</x:t>
  </x:si>
  <x:si>
    <x:t xml:space="preserve">Fürstenfeldbruck</x:t>
  </x:si>
  <x:si>
    <x:t xml:space="preserve">Fliegerhorst Fürstenfeldbruck (exact address unconfirmed)</x:t>
  </x:si>
  <x:si>
    <x:t xml:space="preserve">bayern.landtag.de doc. 19/178 (07.02.2024) || Official bayern.de press release (23.06.2025), exact match to extension-to-2030 claim: https://www.bayern.de/pdf/printpdf.php?id=175288</x:t>
  </x:si>
  <x:si>
    <x:t xml:space="preserve">DE-BY-13</x:t>
  </x:si>
  <x:si>
    <x:t xml:space="preserve">AnKER Garmisch-Partenkirchen</x:t>
  </x:si>
  <x:si>
    <x:t xml:space="preserve">Garmisch-Partenkirchen</x:t>
  </x:si>
  <x:si>
    <x:t xml:space="preserve">Abrams-Komplex (exact address unconfirmed)</x:t>
  </x:si>
  <x:si>
    <x:t xml:space="preserve">bayern.landtag.de doc. 19/178 (07.02.2024); Interimsvergabe Catering 12/2022 (Vergabeportal) || Current (2026) RoB cleaning-tender lists 'approx. 340 places' for Garmisch-Partenkirchen (Abrams Kaserne)</x:t>
  </x:si>
  <x:si>
    <x:t xml:space="preserve">DE-BY-14</x:t>
  </x:si>
  <x:si>
    <x:t xml:space="preserve">AnKER Ingolstadt — Marie-Curie-Straße</x:t>
  </x:si>
  <x:si>
    <x:t xml:space="preserve">Ingolstadt</x:t>
  </x:si>
  <x:si>
    <x:t xml:space="preserve">Marie-Curie-Str. 13, 85055 Ingolstadt</x:t>
  </x:si>
  <x:si>
    <x:t xml:space="preserve">PM 101/2020 Regierung von Oberbayern (site list); Bavarian Ministry of the Interior, 23.06.2025 (confirmation of operation) || TED tender 220169-2021 confirms 'Marie-Curie-Str. 13, 85055 Ingolstadt': https://ted.europa.eu/en/notice/220169-2021/pdf</x:t>
  </x:si>
  <x:si>
    <x:t xml:space="preserve">House number confirmed by TED contract notice 220169-2021, which names "Marie-Curie-Str. 13, 85055 Ingolstadt". The address was already cited in the Source_URL column but had not been transferred into the Address field. || geocoded to the centroid of the postal code area; source: WZBSocialScienceCenter/plz_geocoord (WZB Berlin Social Science Center), file plz_geocoord.csv (postal code 85055). INTERIM: replace with a street-level geocode of the address above. || building-level geocode via Nominatim/OpenStreetMap (match place/house), moved 2.78 km from the previous point</x:t>
  </x:si>
  <x:si>
    <x:t xml:space="preserve">DE-BY-15</x:t>
  </x:si>
  <x:si>
    <x:t xml:space="preserve">AnKER Ingolstadt — Neuburger Straße</x:t>
  </x:si>
  <x:si>
    <x:t xml:space="preserve">Neuburger Str. 105, 85057 Ingolstadt</x:t>
  </x:si>
  <x:si>
    <x:t xml:space="preserve">oeffentlichevergabe.de (security-services tender, Neuburger Str. 105) || Same TED tender 220169-2021 confirms 'Neuburger Str. 105, 85057 Ingolstadt' (Los 4): https://ted.europa.eu/en/notice/220169-2021/pdf</x:t>
  </x:si>
  <x:si>
    <x:t xml:space="preserve">DE-BY-16</x:t>
  </x:si>
  <x:si>
    <x:t xml:space="preserve">AnKER Manching</x:t>
  </x:si>
  <x:si>
    <x:t xml:space="preserve">Manching</x:t>
  </x:si>
  <x:si>
    <x:t xml:space="preserve">Immelmannstraße 7, 85077 Manching</x:t>
  </x:si>
  <x:si>
    <x:t xml:space="preserve">StMI Bayern PM 23.06.2025; PM 101/2020 Reg. v. Oberbayern || Same TED tender 220169-2021 confirms 'Immelmannstr. 7 und 11, 85077 Manching': https://ted.europa.eu/en/notice/220169-2021/pdf</x:t>
  </x:si>
  <x:si>
    <x:t xml:space="preserve">building-level geocode via Nominatim/OpenStreetMap (match highway/tertiary), moved 0.51 km from the previous point || precision corrected to street: OSM matched a road, not a building</x:t>
  </x:si>
  <x:si>
    <x:t xml:space="preserve">DE-BY-17</x:t>
  </x:si>
  <x:si>
    <x:t xml:space="preserve">AnKER Mittelfranken — Beuthener Straße</x:t>
  </x:si>
  <x:si>
    <x:t xml:space="preserve">Nürnberg</x:t>
  </x:si>
  <x:si>
    <x:t xml:space="preserve">Beuthener Straße, 90471 Nürnberg (house number unconfirmed)</x:t>
  </x:si>
  <x:si>
    <x:t xml:space="preserve">WLAN-Liste 2021 / Rummelsberger Diakonie (support-services context)</x:t>
  </x:si>
  <x:si>
    <x:t xml:space="preserve">street-level geocode via Nominatim/OpenStreetMap (match highway/secondary), moved 0.61 km from the previous point</x:t>
  </x:si>
  <x:si>
    <x:t xml:space="preserve">DE-BY-20</x:t>
  </x:si>
  <x:si>
    <x:t xml:space="preserve">AnKER Mittelfranken — Thomas-Mann-Straße</x:t>
  </x:si>
  <x:si>
    <x:t xml:space="preserve">Thomas-Mann-Straße, 90471 Nürnberg (house number unconfirmed)</x:t>
  </x:si>
  <x:si>
    <x:t xml:space="preserve">Rummelsberger Diakonie (support-services context)</x:t>
  </x:si>
  <x:si>
    <x:t xml:space="preserve">street-level geocode via Nominatim/OpenStreetMap (match highway/residential), moved 0.65 km from the previous point</x:t>
  </x:si>
  <x:si>
    <x:t xml:space="preserve">DE-BY-21</x:t>
  </x:si>
  <x:si>
    <x:t xml:space="preserve">AnKER Mittelfranken — Wertachstraße</x:t>
  </x:si>
  <x:si>
    <x:t xml:space="preserve">Wertachstraße 35, 90455 Nürnberg</x:t>
  </x:si>
  <x:si>
    <x:t xml:space="preserve">volunteer-group source (capacity figure ~300)</x:t>
  </x:si>
  <x:si>
    <x:t xml:space="preserve">DE-BY-22</x:t>
  </x:si>
  <x:si>
    <x:t xml:space="preserve">AnKER München — Am Moosfeld</x:t>
  </x:si>
  <x:si>
    <x:t xml:space="preserve">München</x:t>
  </x:si>
  <x:si>
    <x:t xml:space="preserve">Am Moosfeld 37, 81829 München</x:t>
  </x:si>
  <x:si>
    <x:t xml:space="preserve">risi.muenchen.de (district committee enquiry; official answer of Regierung von Oberbayern: max. 350 persons) || Official City of Munich documents (risi.muenchen.de), matches existing Source_URL description: https://risi.muenchen.de/risi/dokument/v/5493344 ; occupancy snapshot 30.06.2020 'Am Moosfeld 37: 238 Personen': https://muenchen-transparent.de/dokumente/6244602/datei</x:t>
  </x:si>
  <x:si>
    <x:t xml:space="preserve">DE-BY-23</x:t>
  </x:si>
  <x:si>
    <x:t xml:space="preserve">AnKER München — Funkkaserne</x:t>
  </x:si>
  <x:si>
    <x:t xml:space="preserve">Frankfurter Ring 200, 80807 München</x:t>
  </x:si>
  <x:si>
    <x:t xml:space="preserve">Vergabeportal 2022 (Frankfurter Ring 200, Verweildauer 6-18 Monate)</x:t>
  </x:si>
  <x:si>
    <x:t xml:space="preserve">DE-BY-24</x:t>
  </x:si>
  <x:si>
    <x:t xml:space="preserve">AnKER München — Musenbergstraße</x:t>
  </x:si>
  <x:si>
    <x:t xml:space="preserve">Accommodation dependency (converted hotel)</x:t>
  </x:si>
  <x:si>
    <x:t xml:space="preserve">Musenbergstraße 25–27, 81929 München</x:t>
  </x:si>
  <x:si>
    <x:t xml:space="preserve">PM 035/2022 Regierung von Oberbayern || Official Regierung von Oberbayern press release (01.04.2022), exact match 'Rund 300 bis 340 Personen': https://www.regierung.oberbayern.bayern.de/mam/dokumente/presse/pm-pdf/2022/22-04-01_pm035_sg14-2_neue-unterkunftsdependance-musenbergstrasse.pdf</x:t>
  </x:si>
  <x:si>
    <x:t xml:space="preserve">DE-BY-25</x:t>
  </x:si>
  <x:si>
    <x:t xml:space="preserve">AnKER Regensburg</x:t>
  </x:si>
  <x:si>
    <x:t xml:space="preserve">Regensburg</x:t>
  </x:si>
  <x:si>
    <x:t xml:space="preserve">Bajuwarenstraße 4, 93053 Regensburg</x:t>
  </x:si>
  <x:si>
    <x:t xml:space="preserve">bayern.landtag.de doc. 19/178 (07.02.2024)</x:t>
  </x:si>
  <x:si>
    <x:t xml:space="preserve">DE-BY-26</x:t>
  </x:si>
  <x:si>
    <x:t xml:space="preserve">AnKER Schweinfurt (Niederwerrn)</x:t>
  </x:si>
  <x:si>
    <x:t xml:space="preserve">Niederwerrn</x:t>
  </x:si>
  <x:si>
    <x:t xml:space="preserve">Conn-Str. 1, 97505 Geldersheim</x:t>
  </x:si>
  <x:si>
    <x:t xml:space="preserve">regierung.unterfranken.bayern.de; bayernportal.de (Conn-Str. 1, Geldersheim) || Drucksache 19/6357 (12.05.2025), fetched in full: exact occupancy 751 as of Stichtag 31.12.2024 (54 days pre-election), more precise than existing Capacity_Note: https://www.bayern.landtag.de/www/ElanTextAblage_WP19/Drucksachen/Schriftliche%20Anfragen/19_0006357.pdf ; official Regierung von Unterfranken handout matching the existing Source_URL description: https://regierung.unterfranken.bayern.de/mam/aufgaben/bereich1/sg14/handout_-_wie_funktioniert_die_anker-einrichtung_geldersheim_niederwerrn_%C3%9Cberarbeitung_15_05_2019.pdf</x:t>
  </x:si>
  <x:si>
    <x:t xml:space="preserve">DE-BY-27</x:t>
  </x:si>
  <x:si>
    <x:t xml:space="preserve">AnKER Zirndorf</x:t>
  </x:si>
  <x:si>
    <x:t xml:space="preserve">Zirndorf</x:t>
  </x:si>
  <x:si>
    <x:t xml:space="preserve">Rothenburger Straße 29, 90513 Zirndorf</x:t>
  </x:si>
  <x:si>
    <x:t xml:space="preserve">bayernportal.de (reception facilities for asylum seekers; operation) || Official BAMF page confirms address Rothenburger Straße 29, 90513 Zirndorf: https://www.bamf.de/SharedDocs/Struktur/Organisationseinheiten/EN/Standorte/zirndorf-anker-einheit.html?nn=282388</x:t>
  </x:si>
  <x:si>
    <x:t xml:space="preserve">re-geocoded with a structured Nominatim query (street/postcode/city) after the free-text query had returned a different street; road Rothenburger Straße, postcode 90513, match building/yes, moved 1.22 km</x:t>
  </x:si>
  <x:si>
    <x:t xml:space="preserve">DE-HB-02</x:t>
  </x:si>
  <x:si>
    <x:t xml:space="preserve">HB</x:t>
  </x:si>
  <x:si>
    <x:t xml:space="preserve">Bremen</x:t>
  </x:si>
  <x:si>
    <x:t xml:space="preserve">EAE Lindenstraße (Bremen-Vegesack)</x:t>
  </x:si>
  <x:si>
    <x:t xml:space="preserve">Initial reception facility (EAE)</x:t>
  </x:si>
  <x:si>
    <x:t xml:space="preserve">Senator for Social Affairs, Bremen</x:t>
  </x:si>
  <x:si>
    <x:t xml:space="preserve">Lindenstraße 110, 28755 Bremen</x:t>
  </x:si>
  <x:si>
    <x:t xml:space="preserve">bamf.de; welcome-to-bremen.de (official guide); awo-bremen.de (facility database) || Bremen Senate document 04.02.2025 (already cited in Source_URL) fetched in full and confirmed verbatim: 'Platzkapazität des Hauptgebäudes auf nunmehr 621 Plätze gesenkt'. Also independently confirms the Überseestadt lightweight-halls figure ('bis zu 1.200 Plätzen') relevant to the Bremen/Tegel codebook question.</x:t>
  </x:si>
  <x:si>
    <x:t xml:space="preserve">building-level geocode via Nominatim/OpenStreetMap (match building/yes), moved 1.90 km from the previous point</x:t>
  </x:si>
  <x:si>
    <x:t xml:space="preserve">DE-HE-01</x:t>
  </x:si>
  <x:si>
    <x:t xml:space="preserve">HE</x:t>
  </x:si>
  <x:si>
    <x:t xml:space="preserve">Hessen</x:t>
  </x:si>
  <x:si>
    <x:t xml:space="preserve">EAEH Außenstelle Büdingen</x:t>
  </x:si>
  <x:si>
    <x:t xml:space="preserve">Regierungspräsidium Gießen (EAEH)</x:t>
  </x:si>
  <x:si>
    <x:t xml:space="preserve">Büdingen</x:t>
  </x:si>
  <x:si>
    <x:t xml:space="preserve">Armstrong Kaserne, Orleshaeuser Strasse 26, 63654 Buedingen</x:t>
  </x:si>
  <x:si>
    <x:t xml:space="preserve">rp-giessen.hessen.de</x:t>
  </x:si>
  <x:si>
    <x:t xml:space="preserve">retry (address, umlauts restored): building-level geocode via Nominatim/OpenStreetMap (match building/detached), moved 2.08 km from the previous point; OSM place: Orleshausen, postcode 63654</x:t>
  </x:si>
  <x:si>
    <x:t xml:space="preserve">DE-HE-02</x:t>
  </x:si>
  <x:si>
    <x:t xml:space="preserve">EAEH Außenstelle Fuldatal-Rothwesten</x:t>
  </x:si>
  <x:si>
    <x:t xml:space="preserve">Branch site of the Hessian reception facility (EAEH)</x:t>
  </x:si>
  <x:si>
    <x:t xml:space="preserve">Fuldatal</x:t>
  </x:si>
  <x:si>
    <x:t xml:space="preserve">Fritz-Erler-Anlage, Fuldatal-Rothwesten (house number unknown)</x:t>
  </x:si>
  <x:si>
    <x:t xml:space="preserve">fuldatal.de (municipal press releases); johanniter.de</x:t>
  </x:si>
  <x:si>
    <x:t xml:space="preserve">DE-HE-03</x:t>
  </x:si>
  <x:si>
    <x:t xml:space="preserve">EAEH Außenstelle Neustadt</x:t>
  </x:si>
  <x:si>
    <x:t xml:space="preserve">Neustadt (Hessen)</x:t>
  </x:si>
  <x:si>
    <x:t xml:space="preserve">Ernst-Moritz-Arndt-Kaserne, Niederkleiner Straße 21, 35279 Neustadt (Hessen)</x:t>
  </x:si>
  <x:si>
    <x:t xml:space="preserve">bamf.de (Gebäude 34); Diakonie Marburg-Biedenkopf || Joint RP Gießen / Landkreis Marburg-Biedenkopf press release (12.08.2020) confirms the facility is real and operating (COVID context): https://marburg-biedenkopf.de/presseanhaenge/2020/376-GSA-Folgemeldung-136_HEAE-Neustadt_RP-u.-LK.PDF</x:t>
  </x:si>
  <x:si>
    <x:t xml:space="preserve">re-geocoded with a structured Nominatim query (street/postcode/city) after the free-text query had returned a different street; road Niederkleiner Straße, postcode 35279, match building/yes, moved 2.44 km</x:t>
  </x:si>
  <x:si>
    <x:t xml:space="preserve">DE-HE-04</x:t>
  </x:si>
  <x:si>
    <x:t xml:space="preserve">EAEH Gießen (Hauptstelle)</x:t>
  </x:si>
  <x:si>
    <x:t xml:space="preserve">Initial reception facility (EAEH, main site)</x:t>
  </x:si>
  <x:si>
    <x:t xml:space="preserve">Gießen</x:t>
  </x:si>
  <x:si>
    <x:t xml:space="preserve">Roedgener Strasse / Ecke Lufthansastrasse, 35394 Giessen (BAMF: Stolzenmorgen 36)</x:t>
  </x:si>
  <x:si>
    <x:t xml:space="preserve">rp-giessen.hessen.de (official EAEH page) || Official RP Gießen presentation (01/2022) confirms the Rödgener Straße/US-Depot site: https://rp-giessen.hessen.de/sites/rp-giessen.hessen.de/files/2022-01/PPP_%20Erstaufnahmeeinrichtung%20des%20Landes%20Hessen_01-2022_0.pdf</x:t>
  </x:si>
  <x:si>
    <x:t xml:space="preserve">street-level geocode via Nominatim/OpenStreetMap (match highway/primary), moved 1.30 km from the previous point</x:t>
  </x:si>
  <x:si>
    <x:t xml:space="preserve">DE-HE-05</x:t>
  </x:si>
  <x:si>
    <x:t xml:space="preserve">EAEH site Kassel-Niederzwehren</x:t>
  </x:si>
  <x:si>
    <x:t xml:space="preserve">Site of the Hessian reception facility (EAEH)</x:t>
  </x:si>
  <x:si>
    <x:t xml:space="preserve">Kassel</x:t>
  </x:si>
  <x:si>
    <x:t xml:space="preserve">Frankfurter Straße 365 / 365 A, 34134 Kassel</x:t>
  </x:si>
  <x:si>
    <x:t xml:space="preserve">Johanniter-Unfall-Hilfe (operator page); Diakonie Region Kassel</x:t>
  </x:si>
  <x:si>
    <x:t xml:space="preserve">DE-HH-01</x:t>
  </x:si>
  <x:si>
    <x:t xml:space="preserve">HH</x:t>
  </x:si>
  <x:si>
    <x:t xml:space="preserve">Hamburg</x:t>
  </x:si>
  <x:si>
    <x:t xml:space="preserve">EA Eichenhöhe (Sonderprofil)</x:t>
  </x:si>
  <x:si>
    <x:t xml:space="preserve">Reception facility (EA) — protected unit for sick/injured residents</x:t>
  </x:si>
  <x:si>
    <x:t xml:space="preserve">Fördern &amp; Wohnen AöR, Hamburg (municipal operator)</x:t>
  </x:si>
  <x:si>
    <x:t xml:space="preserve">Hamburg-Eißendorf</x:t>
  </x:si>
  <x:si>
    <x:t xml:space="preserve">Eichenhöhe 9, 21073 Hamburg (im Gebäude DRK-Seniorenpflegeheim)</x:t>
  </x:si>
  <x:si>
    <x:t xml:space="preserve">drk-hamburg-harburg.de; Hamburg Transparency Portal dataset (as of 03.09.2024)</x:t>
  </x:si>
  <x:si>
    <x:t xml:space="preserve">DE-HH-02</x:t>
  </x:si>
  <x:si>
    <x:t xml:space="preserve">EA Harburger Poststraße</x:t>
  </x:si>
  <x:si>
    <x:t xml:space="preserve">Hamburg-Harburg</x:t>
  </x:si>
  <x:si>
    <x:t xml:space="preserve">Harburger Poststraße 1, Hamburg (21073, Harburg)</x:t>
  </x:si>
  <x:si>
    <x:t xml:space="preserve">Hamburg Transparency Portal, dataset 'Unterbringung Geflüchteter...' (as of 03.09.2024) || Official hamburg.de page on the Zentrale Erstaufnahme confirms Harburger Poststraße was the central intake site until June 2014: https://www.hamburg.de/politik-und-verwaltung/behoerden/behoerde-fuer-inneres-und-sport/zentrale-erstaufnahme-92126 ; real Bürgerschaft Drucksache 22/2006 (2020) lists the address in official COVID reporting: https://media.frag-den-staat.de/files/docs/49/50/90/4950900f25fa472bb32a99a152285bcc/2873e850922ae895e0a5bd3d31c4390a7e14c059.pdf</x:t>
  </x:si>
  <x:si>
    <x:t xml:space="preserve">DE-HH-03</x:t>
  </x:si>
  <x:si>
    <x:t xml:space="preserve">EA Kaltenkirchener Straße</x:t>
  </x:si>
  <x:si>
    <x:t xml:space="preserve">Reception facility (EA) — protected unit</x:t>
  </x:si>
  <x:si>
    <x:t xml:space="preserve">Hamburg-Altona</x:t>
  </x:si>
  <x:si>
    <x:t xml:space="preserve">Kaltenkirchener Straße 1, 22769 Hamburg (Altona-Nord, ehem. Posthotel)</x:t>
  </x:si>
  <x:si>
    <x:t xml:space="preserve">Hamburg Transparency Portal dataset (as of 03.09.2024); press article on the closure, 01/2026 || Same Bürgerschaft Drucksache 22/2006 lists 'Kaltenkirchener Platz 1' in official COVID reporting. || https://media.frag-den-staat.de/files/docs/49/50/90/4950900f25fa472bb32a99a152285bcc/2873e850922ae895e0a5bd3d31c4390a7e14c059.pdf (Drs 22/2006, confirms 'Kaltenkirchener Platz 1')</x:t>
  </x:si>
  <x:si>
    <x:t xml:space="preserve">DE-HH-04</x:t>
  </x:si>
  <x:si>
    <x:t xml:space="preserve">EA Neuer Höltigbaum</x:t>
  </x:si>
  <x:si>
    <x:t xml:space="preserve">Hamburg-Rahlstedt</x:t>
  </x:si>
  <x:si>
    <x:t xml:space="preserve">Neuer Höltigbaum 4, 22143 Hamburg (Rahlstedt)</x:t>
  </x:si>
  <x:si>
    <x:t xml:space="preserve">Hamburg Transparency Portal dataset (as of 03.09.2024)</x:t>
  </x:si>
  <x:si>
    <x:t xml:space="preserve">DE-HH-05</x:t>
  </x:si>
  <x:si>
    <x:t xml:space="preserve">EA Sportallee</x:t>
  </x:si>
  <x:si>
    <x:t xml:space="preserve">Hamburg-Groß Borstel</x:t>
  </x:si>
  <x:si>
    <x:t xml:space="preserve">Sportallee 70, 22335 Hamburg</x:t>
  </x:si>
  <x:si>
    <x:t xml:space="preserve">Hamburg Transparency Portal dataset (as of 03.09.2024); onlinestreet.de (Sportallee 70) || Same Bürgerschaft Drucksache 22/2006 lists Sportallee; a dedicated 2012 Drucksache 20/5886 corroborates the Sportallee site specifically: https://media.frag-den-staat.de/files/foi/6109/Drs20-5886.pdf</x:t>
  </x:si>
  <x:si>
    <x:t xml:space="preserve">DE-HH-06</x:t>
  </x:si>
  <x:si>
    <x:t xml:space="preserve">EA Schmiedekoppel 29 (Asphalt)</x:t>
  </x:si>
  <x:si>
    <x:t xml:space="preserve">Hamburg-Niendorf</x:t>
  </x:si>
  <x:si>
    <x:t xml:space="preserve">Schmiedekoppel 29, Hamburg (22453, Niendorf)</x:t>
  </x:si>
  <x:si>
    <x:t xml:space="preserve">DE-HH-07</x:t>
  </x:si>
  <x:si>
    <x:t xml:space="preserve">EA Schmiedekoppel 30 (Wiese)</x:t>
  </x:si>
  <x:si>
    <x:t xml:space="preserve">Schmiedekoppel 30, Hamburg (22453, Niendorf)</x:t>
  </x:si>
  <x:si>
    <x:t xml:space="preserve">re-geocoded with a structured Nominatim query (street/postcode/city) after the free-text query had returned a different street; road Schmiedekoppel, postcode 22453, match place/house, moved 0.08 km</x:t>
  </x:si>
  <x:si>
    <x:t xml:space="preserve">DE-MV-01</x:t>
  </x:si>
  <x:si>
    <x:t xml:space="preserve">MV</x:t>
  </x:si>
  <x:si>
    <x:t xml:space="preserve">Mecklenburg-Vorpommern</x:t>
  </x:si>
  <x:si>
    <x:t xml:space="preserve">EAE Schwerin (Nostorf-Horst)</x:t>
  </x:si>
  <x:si>
    <x:t xml:space="preserve">State of Mecklenburg-Vorpommern (LAiV)</x:t>
  </x:si>
  <x:si>
    <x:t xml:space="preserve">Nostorf</x:t>
  </x:si>
  <x:si>
    <x:t xml:space="preserve">Nostorfer Strasse 1, 19258 Nostorf-Horst</x:t>
  </x:si>
  <x:si>
    <x:t xml:space="preserve">regierung-mv.de PM 05.03.2024; Nordkurier 05/2024 (basis of the capacity derivation) || MV Landtag Drucksache 8/4624 (already cited in Coverage_Gaps as 'MV state parliament doc. 8/4624'), fetched: official nominal/usable capacity table gives Nostorf-Horst 440 nominal/330 usable: https://www.dokumentation.landtag-mv.de/parldok/dokument/63950/kapazitaet_der_erstaufnahmeeinrichtung_des_landes_mecklenburg_vorpommern.pdf</x:t>
  </x:si>
  <x:si>
    <x:t xml:space="preserve">building-level geocode via Nominatim/OpenStreetMap (match building/yes), moved 6.85 km from the previous point</x:t>
  </x:si>
  <x:si>
    <x:t xml:space="preserve">DE-MV-02</x:t>
  </x:si>
  <x:si>
    <x:t xml:space="preserve">EAE Stern Buchholz</x:t>
  </x:si>
  <x:si>
    <x:t xml:space="preserve">Schwerin</x:t>
  </x:si>
  <x:si>
    <x:t xml:space="preserve">Stern-Buchholz 16, 19061 Schwerin (house number taken from the BAMF list — to be confirmed)</x:t>
  </x:si>
  <x:si>
    <x:t xml:space="preserve">regierung-mv.de PM 05.03.2024; Nordkurier 05/2024 || Same Drucksache 8/4624: Stern Buchholz 590 nominal/440 usable — this DIRECTLY RESOLVES the 'refuted derivation' flag: the correct breakdown is 440(Nostorf)/590(Stern Buchholz), not a 1200-minus-770 derivation. Recommend updating Verify_TODO #16 with these figures.</x:t>
  </x:si>
  <x:si>
    <x:t xml:space="preserve">DE-NI-01</x:t>
  </x:si>
  <x:si>
    <x:t xml:space="preserve">NI</x:t>
  </x:si>
  <x:si>
    <x:t xml:space="preserve">Niedersachsen</x:t>
  </x:si>
  <x:si>
    <x:t xml:space="preserve">LAB NI Außenstelle Celle (Seeckt-Kaserne)</x:t>
  </x:si>
  <x:si>
    <x:t xml:space="preserve">Reception-facility branch site (LAB NI)</x:t>
  </x:si>
  <x:si>
    <x:t xml:space="preserve">LAB Niedersachsen (state reception authority)</x:t>
  </x:si>
  <x:si>
    <x:t xml:space="preserve">Celle</x:t>
  </x:si>
  <x:si>
    <x:t xml:space="preserve">Hohe Wende 18, Celle</x:t>
  </x:si>
  <x:si>
    <x:t xml:space="preserve">lab.niedersachsen.de (official contact page, Hohe Wende 18) || Niedersachsen Landtag Drucksache 19/121 (~11/2022) confirms the LAB NI site structure incl. Celle-Außenstelle: https://www.landtag-niedersachsen.de/drucksachen/drucksachen_19_02500/00001-00500/19-00121.pdf</x:t>
  </x:si>
  <x:si>
    <x:t xml:space="preserve">DE-NI-02</x:t>
  </x:si>
  <x:si>
    <x:t xml:space="preserve">LAB NI Ankunftszentrum Bramsche</x:t>
  </x:si>
  <x:si>
    <x:t xml:space="preserve">Arrival centre / reception facility (LAB NI)</x:t>
  </x:si>
  <x:si>
    <x:t xml:space="preserve">Bramsche</x:t>
  </x:si>
  <x:si>
    <x:t xml:space="preserve">Im Rehhagen 8, 49565 Bramsche (Hesepe)</x:t>
  </x:si>
  <x:si>
    <x:t xml:space="preserve">lab.niedersachsen.de (Bramsche site page, standard occupancy 1,020) || Niedersachsen Landtag Drucksache 19/121 (~11/2022): https://www.landtag-niedersachsen.de/drucksachen/drucksachen_19_02500/00001-00500/19-00121.pdf</x:t>
  </x:si>
  <x:si>
    <x:t xml:space="preserve">building-level geocode via Nominatim/OpenStreetMap (match building/yes), moved 1.48 km from the previous point</x:t>
  </x:si>
  <x:si>
    <x:t xml:space="preserve">DE-NI-03</x:t>
  </x:si>
  <x:si>
    <x:t xml:space="preserve">LAB NI Braunschweig</x:t>
  </x:si>
  <x:si>
    <x:t xml:space="preserve">Initial reception facility (LAB NI)</x:t>
  </x:si>
  <x:si>
    <x:t xml:space="preserve">Braunschweig</x:t>
  </x:si>
  <x:si>
    <x:t xml:space="preserve">Boeselagerstr. 4, 38108 Braunschweig</x:t>
  </x:si>
  <x:si>
    <x:t xml:space="preserve">https://www.lab.niedersachsen.de/startseite/service/kontakt/kontakt-140915.html</x:t>
  </x:si>
  <x:si>
    <x:t xml:space="preserve">building-level geocode via Nominatim/OpenStreetMap (match building/yes), moved 1.17 km from the previous point</x:t>
  </x:si>
  <x:si>
    <x:t xml:space="preserve">DE-NI-04</x:t>
  </x:si>
  <x:si>
    <x:t xml:space="preserve">LAB NI Friedland</x:t>
  </x:si>
  <x:si>
    <x:t xml:space="preserve">Friedland</x:t>
  </x:si>
  <x:si>
    <x:t xml:space="preserve">Heimkehrerstrasse 18, 37133 Friedland</x:t>
  </x:si>
  <x:si>
    <x:t xml:space="preserve">building-level geocode via Nominatim/OpenStreetMap (match amenity/social_facility), moved 0.93 km from the previous point</x:t>
  </x:si>
  <x:si>
    <x:t xml:space="preserve">DE-NI-05</x:t>
  </x:si>
  <x:si>
    <x:t xml:space="preserve">LAB NI Oldenburg</x:t>
  </x:si>
  <x:si>
    <x:t xml:space="preserve">Oldenburg</x:t>
  </x:si>
  <x:si>
    <x:t xml:space="preserve">Klostermark 70-80, 26135 Oldenburg</x:t>
  </x:si>
  <x:si>
    <x:t xml:space="preserve">building-level geocode via Nominatim/OpenStreetMap (match highway/unclassified), moved 8.75 km from the previous point || precision corrected to street: OSM matched a road, not a building</x:t>
  </x:si>
  <x:si>
    <x:t xml:space="preserve">DE-NI-06</x:t>
  </x:si>
  <x:si>
    <x:t xml:space="preserve">LAB NI site Osnabrück</x:t>
  </x:si>
  <x:si>
    <x:t xml:space="preserve">Osnabrück</x:t>
  </x:si>
  <x:si>
    <x:t xml:space="preserve">Sedanstraße 115, 49090 Osnabrück</x:t>
  </x:si>
  <x:si>
    <x:t xml:space="preserve">lab.niedersachsen.de/startseite/service/kontakt (Sedanstraße 115)</x:t>
  </x:si>
  <x:si>
    <x:t xml:space="preserve">DE-NW-01</x:t>
  </x:si>
  <x:si>
    <x:t xml:space="preserve">NW</x:t>
  </x:si>
  <x:si>
    <x:t xml:space="preserve">Nordrhein-Westfalen</x:t>
  </x:si>
  <x:si>
    <x:t xml:space="preserve">EAE Bielefeld</x:t>
  </x:si>
  <x:si>
    <x:t xml:space="preserve">Bezirksregierung Detmold</x:t>
  </x:si>
  <x:si>
    <x:t xml:space="preserve">Bielefeld</x:t>
  </x:si>
  <x:si>
    <x:t xml:space="preserve">Am Stadtholz 24, 33609 Bielefeld</x:t>
  </x:si>
  <x:si>
    <x:t xml:space="preserve">North Rhine-Westphalia state parliament document (as of 31.10.2024, EAE capacity table) || NRW Landtag document MMV18-2924 (Stand 31.07.2024) gives an official EAE capacity table: 'EAE (5) 6.570' total (EXACT match to Summary_by_State's NW total); Bielefeld 950 — exact match: https://landtag.nrw.de/portal/WWW/dokumentenarchiv/Dokument/MMV18-2924.pdf</x:t>
  </x:si>
  <x:si>
    <x:t xml:space="preserve">DE-NW-02</x:t>
  </x:si>
  <x:si>
    <x:t xml:space="preserve">EAE Bonn</x:t>
  </x:si>
  <x:si>
    <x:t xml:space="preserve">Bezirksregierung Köln</x:t>
  </x:si>
  <x:si>
    <x:t xml:space="preserve">Bonn</x:t>
  </x:si>
  <x:si>
    <x:t xml:space="preserve">Ermekeilkaserne, Ermekeilstraße 27–33, 53113 Bonn (house number to be confirmed)</x:t>
  </x:si>
  <x:si>
    <x:t xml:space="preserve">bezreg-koeln.nrw.de/verlaengerung-und-erweiterung-der-erstaufnahmeeinrichtung-eae-bonn-bis-ende-2025</x:t>
  </x:si>
  <x:si>
    <x:t xml:space="preserve">DE-NW-03</x:t>
  </x:si>
  <x:si>
    <x:t xml:space="preserve">EAE Essen</x:t>
  </x:si>
  <x:si>
    <x:t xml:space="preserve">Bezirksregierung Düsseldorf</x:t>
  </x:si>
  <x:si>
    <x:t xml:space="preserve">Essen</x:t>
  </x:si>
  <x:si>
    <x:t xml:space="preserve">Overhammshof (Gelände Hammer Straße; BAMF vor Ort: Overhammshof 29), 45239 Essen-Fischlaken</x:t>
  </x:si>
  <x:si>
    <x:t xml:space="preserve">Landtag NRW Drucksache (Stand 31.10.2024); wikipedia.de 'Overhammshof'</x:t>
  </x:si>
  <x:si>
    <x:t xml:space="preserve">DE-NW-04</x:t>
  </x:si>
  <x:si>
    <x:t xml:space="preserve">EAE Köln</x:t>
  </x:si>
  <x:si>
    <x:t xml:space="preserve">Köln</x:t>
  </x:si>
  <x:si>
    <x:t xml:space="preserve">Schönhauser Straße (house number unconfirmed), 50968 Köln-Bayenthal</x:t>
  </x:si>
  <x:si>
    <x:t xml:space="preserve">koeln.t-online.de (Mietvertragsverlängerung); stadtrevue.de</x:t>
  </x:si>
  <x:si>
    <x:t xml:space="preserve">street-level geocode via Nominatim/OpenStreetMap (match highway/tertiary), moved 0.07 km from the previous point</x:t>
  </x:si>
  <x:si>
    <x:t xml:space="preserve">DE-NW-05</x:t>
  </x:si>
  <x:si>
    <x:t xml:space="preserve">EAE Mönchengladbach</x:t>
  </x:si>
  <x:si>
    <x:t xml:space="preserve">Mönchengladbach</x:t>
  </x:si>
  <x:si>
    <x:t xml:space="preserve">ehem. JHQ Rheindahlen, 41179 Moenchengladbach</x:t>
  </x:si>
  <x:si>
    <x:t xml:space="preserve">Landtag NRW Drucksache (Stand 31.10.2024)</x:t>
  </x:si>
  <x:si>
    <x:t xml:space="preserve">DE-NW-06</x:t>
  </x:si>
  <x:si>
    <x:t xml:space="preserve">EAE Unna</x:t>
  </x:si>
  <x:si>
    <x:t xml:space="preserve">Bezirksregierung Arnsberg</x:t>
  </x:si>
  <x:si>
    <x:t xml:space="preserve">Unna</x:t>
  </x:si>
  <x:si>
    <x:t xml:space="preserve">ehem. Landesstelle Unna-Massen, 59427 Unna (Massen)</x:t>
  </x:si>
  <x:si>
    <x:t xml:space="preserve">DE-RP-01</x:t>
  </x:si>
  <x:si>
    <x:t xml:space="preserve">RP</x:t>
  </x:si>
  <x:si>
    <x:t xml:space="preserve">Rheinland-Pfalz</x:t>
  </x:si>
  <x:si>
    <x:t xml:space="preserve">AfA Außenstelle Hahn</x:t>
  </x:si>
  <x:si>
    <x:t xml:space="preserve">AfA branch site (Kusel)</x:t>
  </x:si>
  <x:si>
    <x:t xml:space="preserve">ADD Rheinland-Pfalz (supervisory and service directorate)</x:t>
  </x:si>
  <x:si>
    <x:t xml:space="preserve">Lautzenhausen (Flughafen Hahn)</x:t>
  </x:si>
  <x:si>
    <x:t xml:space="preserve">Property at Hahn airport, Lautzenhausen (exact address to be established)</x:t>
  </x:si>
  <x:si>
    <x:t xml:space="preserve">add.rlp.de/themen/flucht-und-migration/aufnahme-unterbringen-und-verteilung/[afa-standort]</x:t>
  </x:si>
  <x:si>
    <x:t xml:space="preserve">DE-RP-03</x:t>
  </x:si>
  <x:si>
    <x:t xml:space="preserve">AfA Hermeskeil</x:t>
  </x:si>
  <x:si>
    <x:t xml:space="preserve">State reception facility (AfA)</x:t>
  </x:si>
  <x:si>
    <x:t xml:space="preserve">Hermeskeil</x:t>
  </x:si>
  <x:si>
    <x:t xml:space="preserve">Trierer Strasse 200, 54411 Hermeskeil</x:t>
  </x:si>
  <x:si>
    <x:t xml:space="preserve">add.rlp.de/themen/flucht-und-migration/aufnahme-unterbringen-und-verteilung/standorte/afa-hermeskeil (official site map, retrieved directly) || Supplementary: historical (2015) planning article gives Hermeskeil's original ~750-place plan: https://www.rheinpfalz.de/rheinland-pfalz_artikel,-land-erwartet-noch-mehr-fl%C3%BCchtlinge-_arid,378167.html</x:t>
  </x:si>
  <x:si>
    <x:t xml:space="preserve">DE-RP-04</x:t>
  </x:si>
  <x:si>
    <x:t xml:space="preserve">AfA Kusel</x:t>
  </x:si>
  <x:si>
    <x:t xml:space="preserve">Kusel</x:t>
  </x:si>
  <x:si>
    <x:t xml:space="preserve">Windhof, Haischbachstraße 100, 66869 Kusel</x:t>
  </x:si>
  <x:si>
    <x:t xml:space="preserve">add.rlp.de (site map) + landkreis-kusel.de/aktuelles/pressemeldungen/afa-kusel-belegungszahlen (weekly occupancy statistics, calendar week 8: 429 on 21.02.2025 — retrieved directly)</x:t>
  </x:si>
  <x:si>
    <x:t xml:space="preserve">DE-RP-05</x:t>
  </x:si>
  <x:si>
    <x:t xml:space="preserve">AfA Speyer</x:t>
  </x:si>
  <x:si>
    <x:t xml:space="preserve">Speyer</x:t>
  </x:si>
  <x:si>
    <x:t xml:space="preserve">Spaldingerstrasse 100, 67346 Speyer</x:t>
  </x:si>
  <x:si>
    <x:t xml:space="preserve">add.rlp.de/themen/flucht-und-migration/aufnahme-unterbringen-und-verteilung/afa-speyer (official site map, retrieved directly) || Supplementary: RheinPfalz article citing official ADD Trier figures, Speyer occupancy 'knapp mehr als 1200' (end of January) vs. September 2023 peak of 1800: https://www.rheinpfalz.de/rheinland-pfalz_artikel,-land-verteilt-weniger-fl%C3%BCchtlinge-_arid,5608020.html</x:t>
  </x:si>
  <x:si>
    <x:t xml:space="preserve">DE-RP-06</x:t>
  </x:si>
  <x:si>
    <x:t xml:space="preserve">AfA Trier</x:t>
  </x:si>
  <x:si>
    <x:t xml:space="preserve">Trier</x:t>
  </x:si>
  <x:si>
    <x:t xml:space="preserve">Dasbachstrasse 19, 54292 Trier</x:t>
  </x:si>
  <x:si>
    <x:t xml:space="preserve">add.rlp.de/themen/flucht-und-migration/aufnahme-unterbringen-und-verteilung/afa-trier (official site map, retrieved directly — capacity, address and building count confirmed)</x:t>
  </x:si>
  <x:si>
    <x:t xml:space="preserve">building-level geocode via Nominatim/OpenStreetMap (match building/yes), moved 1.09 km from the previous point</x:t>
  </x:si>
  <x:si>
    <x:t xml:space="preserve">DE-SH-01</x:t>
  </x:si>
  <x:si>
    <x:t xml:space="preserve">SH</x:t>
  </x:si>
  <x:si>
    <x:t xml:space="preserve">Schleswig-Holstein</x:t>
  </x:si>
  <x:si>
    <x:t xml:space="preserve">EAE Neumünster</x:t>
  </x:si>
  <x:si>
    <x:t xml:space="preserve">LaZuF Schleswig-Holstein (state office for immigration and refugees)</x:t>
  </x:si>
  <x:si>
    <x:t xml:space="preserve">Neumünster</x:t>
  </x:si>
  <x:si>
    <x:t xml:space="preserve">Haart 148, 24539 Neumünster</x:t>
  </x:si>
  <x:si>
    <x:t xml:space="preserve">schleswig-holstein.de/LAZUF (Zuwanderungsbericht Februar 2025, PM 38/2025-äquivalent) || https://www.schleswig-holstein.de/DE/landesregierung/ministerien-behoerden/LAZUF/UeberUns/Standorte/standorte_node.html</x:t>
  </x:si>
  <x:si>
    <x:t xml:space="preserve">building-level geocode via Nominatim/OpenStreetMap (match place/house), moved 0.89 km from the previous point</x:t>
  </x:si>
  <x:si>
    <x:t xml:space="preserve">DE-SH-02</x:t>
  </x:si>
  <x:si>
    <x:t xml:space="preserve">Landesunterkunft Bad Segeberg</x:t>
  </x:si>
  <x:si>
    <x:t xml:space="preserve">State accommodation facility (Landesunterkunft)</x:t>
  </x:si>
  <x:si>
    <x:t xml:space="preserve">Bad Segeberg</x:t>
  </x:si>
  <x:si>
    <x:t xml:space="preserve">Segeberger Straße 106a, 23795 Bad Segeberg (Fahrenkrug)</x:t>
  </x:si>
  <x:si>
    <x:t xml:space="preserve">schleswig-holstein.de/LAZUF (monthly immigration report, February 2025) || https://www.schleswig-holstein.de/DE/landesregierung/ministerien-behoerden/LAZUF/UeberUns/Standorte/standorte_node.html</x:t>
  </x:si>
  <x:si>
    <x:t xml:space="preserve">DE-SH-03</x:t>
  </x:si>
  <x:si>
    <x:t xml:space="preserve">Landesunterkunft Boostedt</x:t>
  </x:si>
  <x:si>
    <x:t xml:space="preserve">Boostedt</x:t>
  </x:si>
  <x:si>
    <x:t xml:space="preserve">Rantzau-Straße 10, 24598 Boostedt</x:t>
  </x:si>
  <x:si>
    <x:t xml:space="preserve">building-level geocode via Nominatim/OpenStreetMap (match highway/service), moved 1.53 km from the previous point || precision corrected to street: OSM matched a road, not a building</x:t>
  </x:si>
  <x:si>
    <x:t xml:space="preserve">DE-SH-04</x:t>
  </x:si>
  <x:si>
    <x:t xml:space="preserve">Landesunterkunft Glückstadt</x:t>
  </x:si>
  <x:si>
    <x:t xml:space="preserve">Glückstadt</x:t>
  </x:si>
  <x:si>
    <x:t xml:space="preserve">Am Neuendeich 50, 25348 Glückstadt</x:t>
  </x:si>
  <x:si>
    <x:t xml:space="preserve">schleswig-holstein.de/LAZUF (monthly immigration report, February 2025); Kabinettsbeschluss 15.07.2025 (Statusbestätigung) || https://www.schleswig-holstein.de/DE/landesregierung/ministerien-behoerden/LAZUF/UeberUns/Standorte/standorte_node.html</x:t>
  </x:si>
  <x:si>
    <x:t xml:space="preserve">Address was already in the Address field, confirmed by the official LaZuF site list; only the coordinate had remained at municipality level. || geocoded to the centroid of the postal code area; source: WZBSocialScienceCenter/plz_geocoord (WZB Berlin Social Science Center), file plz_geocoord.csv (postal code 25348). INTERIM: replace with a street-level geocode of the address above. || building-level geocode via Nominatim/OpenStreetMap (match building/yes), moved 1.94 km from the previous point</x:t>
  </x:si>
  <x:si>
    <x:t xml:space="preserve">DE-SH-05</x:t>
  </x:si>
  <x:si>
    <x:t xml:space="preserve">Landesunterkunft Kiel</x:t>
  </x:si>
  <x:si>
    <x:t xml:space="preserve">Kiel</x:t>
  </x:si>
  <x:si>
    <x:t xml:space="preserve">Niemannsweg 220, 24106 Kiel</x:t>
  </x:si>
  <x:si>
    <x:t xml:space="preserve">schleswig-holstein.de/LAZUF (monthly immigration report, February 2025); press article on the opening, 20.11.2023 || https://www.schleswig-holstein.de/DE/landesregierung/ministerien-behoerden/LAZUF/UeberUns/Standorte/standorte_node.html</x:t>
  </x:si>
  <x:si>
    <x:t xml:space="preserve">Address was already in the Address field, confirmed by the official LaZuF site list (opened 2023, capacity 500 as of 30.04.2025); only the coordinate had remained at municipality level. The state parliament document Umdruck 19/4345 independently confirms that the state-owned building Niemannsweg 220 was put to refugee-accommodation use. || geocoded to the centroid of the postal code area; source: WZBSocialScienceCenter/plz_geocoord (WZB Berlin Social Science Center), file plz_geocoord.csv (postal code 24106). INTERIM: replace with a street-level geocode of the address above. || building-level geocode via Nominatim/OpenStreetMap (match building/government), moved 1.73 km from the previous point</x:t>
  </x:si>
  <x:si>
    <x:t xml:space="preserve">DE-SH-06</x:t>
  </x:si>
  <x:si>
    <x:t xml:space="preserve">Landesunterkunft Rendsburg</x:t>
  </x:si>
  <x:si>
    <x:t xml:space="preserve">Rendsburg</x:t>
  </x:si>
  <x:si>
    <x:t xml:space="preserve">Pastor-Bielfeldt-Str. 1–10, 24768 Rendsburg</x:t>
  </x:si>
  <x:si>
    <x:t xml:space="preserve">DE-SH-07</x:t>
  </x:si>
  <x:si>
    <x:t xml:space="preserve">Landesunterkunft Seeth</x:t>
  </x:si>
  <x:si>
    <x:t xml:space="preserve">Seeth</x:t>
  </x:si>
  <x:si>
    <x:t xml:space="preserve">Stapelholmer Kaserne, Hauptstraße 100, 25878 Seeth</x:t>
  </x:si>
  <x:si>
    <x:t xml:space="preserve">retry (address, umlauts restored): street-level geocode via Nominatim/OpenStreetMap (match highway/primary), moved 0.92 km from the previous point; OSM place: Seeth, postcode 25878</x:t>
  </x:si>
  <x:si>
    <x:t xml:space="preserve">DE-SL-01</x:t>
  </x:si>
  <x:si>
    <x:t xml:space="preserve">SL</x:t>
  </x:si>
  <x:si>
    <x:t xml:space="preserve">Saarland</x:t>
  </x:si>
  <x:si>
    <x:t xml:space="preserve">Landesaufnahmestelle Lebach</x:t>
  </x:si>
  <x:si>
    <x:t xml:space="preserve">State reception centre (functionally equivalent to an ANKER centre)</x:t>
  </x:si>
  <x:si>
    <x:t xml:space="preserve">State of Saarland (Landesaufnahmestelle)</x:t>
  </x:si>
  <x:si>
    <x:t xml:space="preserve">Lebach</x:t>
  </x:si>
  <x:si>
    <x:t xml:space="preserve">Schlesierallee 17, 66822 Lebach</x:t>
  </x:si>
  <x:si>
    <x:t xml:space="preserve">saarland.de/SharedDocs/Downloads/DE/mibs/pmen/2025/März/pm38_2025-03-20-Medienzahlen-02-2025</x:t>
  </x:si>
  <x:si>
    <x:t xml:space="preserve">DE-SN-01</x:t>
  </x:si>
  <x:si>
    <x:t xml:space="preserve">SN</x:t>
  </x:si>
  <x:si>
    <x:t xml:space="preserve">Sachsen</x:t>
  </x:si>
  <x:si>
    <x:t xml:space="preserve">AE Chemnitz — Unterkunft Altendorfer Straße</x:t>
  </x:si>
  <x:si>
    <x:t xml:space="preserve">Accommodation unit of an initial reception facility</x:t>
  </x:si>
  <x:si>
    <x:t xml:space="preserve">Landesdirektion Sachsen (state directorate)</x:t>
  </x:si>
  <x:si>
    <x:t xml:space="preserve">Chemnitz</x:t>
  </x:si>
  <x:si>
    <x:t xml:space="preserve">Altendorfer Straße 98a, 09113 Chemnitz</x:t>
  </x:si>
  <x:si>
    <x:t xml:space="preserve">web.archive.org lds.sachsen.de (Wayback snapshots 09/2024 and 03/2025) || Official, live Landesdirektion Sachsen facility directory confirms 'Altendorfer Straße 98a, 09113 Chemnitz': https://www.lds.sachsen.de/asyl/?ID=15867&amp;art_param=934</x:t>
  </x:si>
  <x:si>
    <x:t xml:space="preserve">DE-SN-02</x:t>
  </x:si>
  <x:si>
    <x:t xml:space="preserve">AE Chemnitz — Unterkunft Dittersdorfer Weg</x:t>
  </x:si>
  <x:si>
    <x:t xml:space="preserve">Dittersdorfer Weg 25, 09123 Chemnitz</x:t>
  </x:si>
  <x:si>
    <x:t xml:space="preserve">web.archive.org lds.sachsen.de (Wayback snapshot 09/2024)</x:t>
  </x:si>
  <x:si>
    <x:t xml:space="preserve">DE-SN-03</x:t>
  </x:si>
  <x:si>
    <x:t xml:space="preserve">AE Chemnitz — Unterkunft Meerane</x:t>
  </x:si>
  <x:si>
    <x:t xml:space="preserve">Meerane</x:t>
  </x:si>
  <x:si>
    <x:t xml:space="preserve">Seiferitzer Schulweg 10, 08393 Meerane</x:t>
  </x:si>
  <x:si>
    <x:t xml:space="preserve">web.archive.org lds.sachsen.de (Wayback snapshot 09/2024) || Same LDS directory confirms 'Seiferitzer Schulweg 10, 08393 Meerane' under Chemnitz.</x:t>
  </x:si>
  <x:si>
    <x:t xml:space="preserve">DE-SN-04</x:t>
  </x:si>
  <x:si>
    <x:t xml:space="preserve">AE Chemnitz — Unterkunft Thüringer Weg</x:t>
  </x:si>
  <x:si>
    <x:t xml:space="preserve">Thüringer Weg 5, 09126 Chemnitz</x:t>
  </x:si>
  <x:si>
    <x:t xml:space="preserve">web.archive.org lds.sachsen.de (Wayback snapshots 09/2024 and 03/2025)</x:t>
  </x:si>
  <x:si>
    <x:t xml:space="preserve">DE-SN-05</x:t>
  </x:si>
  <x:si>
    <x:t xml:space="preserve">DE-SN-06</x:t>
  </x:si>
  <x:si>
    <x:t xml:space="preserve">AE Dresden — Unterkunft Bremer Straße</x:t>
  </x:si>
  <x:si>
    <x:t xml:space="preserve">Dresden</x:t>
  </x:si>
  <x:si>
    <x:t xml:space="preserve">Bremer Straße 25, 01067 Dresden</x:t>
  </x:si>
  <x:si>
    <x:t xml:space="preserve">web.archive.org lds.sachsen.de (Wayback snapshots 09/2024 and 03/2025); medienservice.sachsen.de (Waldheim press release, capacity 420)</x:t>
  </x:si>
  <x:si>
    <x:t xml:space="preserve">DE-SN-07</x:t>
  </x:si>
  <x:si>
    <x:t xml:space="preserve">AE Dresden — Unterkunft Messering</x:t>
  </x:si>
  <x:si>
    <x:t xml:space="preserve">Messering 8b, 01067 Dresden</x:t>
  </x:si>
  <x:si>
    <x:t xml:space="preserve">re-geocoded with a structured Nominatim query (street/postcode/city) after the free-text query had returned a different street; road Messering, postcode 01067, match building/hut, moved 0.22 km</x:t>
  </x:si>
  <x:si>
    <x:t xml:space="preserve">DE-SN-08</x:t>
  </x:si>
  <x:si>
    <x:t xml:space="preserve">AE Dresden — Unterkunft Niedersedlitzer Straße</x:t>
  </x:si>
  <x:si>
    <x:t xml:space="preserve">Niedersedlitzer Straße 25, 01239 Dresden</x:t>
  </x:si>
  <x:si>
    <x:t xml:space="preserve">web.archive.org lds.sachsen.de (Wayback snapshots 09/2024 and 03/2025); medienservice.sachsen.de</x:t>
  </x:si>
  <x:si>
    <x:t xml:space="preserve">DE-SN-09</x:t>
  </x:si>
  <x:si>
    <x:t xml:space="preserve">AE Dresden — Unterkunft Stauffenbergallee</x:t>
  </x:si>
  <x:si>
    <x:t xml:space="preserve">Accommodation unit of an initial reception facility (secondary-migration centre)</x:t>
  </x:si>
  <x:si>
    <x:t xml:space="preserve">Stauffenbergallee 2b, 01099 Dresden</x:t>
  </x:si>
  <x:si>
    <x:t xml:space="preserve">web.archive.org lds.sachsen.de (Wayback snapshots 09/2024 and 03/2025) || Same LDS directory confirms 'Stauffenbergallee 2 b, 01099 Dresden (Sekundärmigrationszentrum)' — exact match including the special designation.</x:t>
  </x:si>
  <x:si>
    <x:t xml:space="preserve">re-geocoded with a structured Nominatim query (street/postcode/city) after the free-text query had returned a different street; road Stauffenbergallee, postcode 01099, match building/office, moved 0.17 km</x:t>
  </x:si>
  <x:si>
    <x:t xml:space="preserve">DE-SN-10</x:t>
  </x:si>
  <x:si>
    <x:t xml:space="preserve">AE Leipzig — Unterkunft Mockau II</x:t>
  </x:si>
  <x:si>
    <x:t xml:space="preserve">Leipzig</x:t>
  </x:si>
  <x:si>
    <x:t xml:space="preserve">Graf-Zeppelin-Ring 15, 04356 Leipzig</x:t>
  </x:si>
  <x:si>
    <x:t xml:space="preserve">web.archive.org lds.sachsen.de (Wayback snapshots 09/2024 and 03/2025) || Same LDS directory confirms 'Graf-Zeppelin-Ring 15, 04356 Leipzig (Mockau II)'.</x:t>
  </x:si>
  <x:si>
    <x:t xml:space="preserve">DE-SN-11</x:t>
  </x:si>
  <x:si>
    <x:t xml:space="preserve">AE Leipzig — Unterkunft Mockau III</x:t>
  </x:si>
  <x:si>
    <x:t xml:space="preserve">Graf-Zeppelin-Ring 6, 04356 Leipzig (Mockau III)</x:t>
  </x:si>
  <x:si>
    <x:t xml:space="preserve">web.archive.org lds.sachsen.de (Wayback snapshots 09/2024 and 03/2025); medienservice.sachsen.de (Waldheim press release, combined Mockau capacity 800)</x:t>
  </x:si>
  <x:si>
    <x:t xml:space="preserve">DE-SN-12</x:t>
  </x:si>
  <x:si>
    <x:t xml:space="preserve">AE Leipzig — Unterkunft Rötha</x:t>
  </x:si>
  <x:si>
    <x:t xml:space="preserve">Rötha</x:t>
  </x:si>
  <x:si>
    <x:t xml:space="preserve">Ernst-Thälmann-Straße 5, 04571 Rötha</x:t>
  </x:si>
  <x:si>
    <x:t xml:space="preserve">DE-SN-13</x:t>
  </x:si>
  <x:si>
    <x:t xml:space="preserve">AE Leipzig — Unterkunft Schkeuditz-Dölzig</x:t>
  </x:si>
  <x:si>
    <x:t xml:space="preserve">Schkeuditz</x:t>
  </x:si>
  <x:si>
    <x:t xml:space="preserve">Westringstraße 55, 04435 Schkeuditz OT Dölzig</x:t>
  </x:si>
  <x:si>
    <x:t xml:space="preserve">web.archive.org lds.sachsen.de (Wayback snapshots 09/2024 and 03/2025); medienservice.sachsen.de (capacity 700) || Official Landesdirektion Sachsen press release (02.11.2023) confirms current aggregate Saxon EAE capacity '8825 Unterbringungsplätze', real and relevant to the general system context: https://www.medienservice.sachsen.de/medien/news/1070771/download_pdf</x:t>
  </x:si>
  <x:si>
    <x:t xml:space="preserve">DE-SN-14</x:t>
  </x:si>
  <x:si>
    <x:t xml:space="preserve">AE Schneeberg</x:t>
  </x:si>
  <x:si>
    <x:t xml:space="preserve">Reception facility (AE)</x:t>
  </x:si>
  <x:si>
    <x:t xml:space="preserve">Schneeberg</x:t>
  </x:si>
  <x:si>
    <x:t xml:space="preserve">Alte Hohe Straße 1, 08289 Schneeberg (former Jägerkaserne, Neustädtel district)</x:t>
  </x:si>
  <x:si>
    <x:t xml:space="preserve">regierung.sachsen.de / lds.sachsen.de; medienservice.sachsen.de (Waldheim press release, comparison figure 560) || Same LDS directory confirms 'Alte Hohe Straße 1, 08289 Schneeberg (Außenstelle Schneeberg)' under Chemnitz.</x:t>
  </x:si>
  <x:si>
    <x:t xml:space="preserve">building-level geocode via Nominatim/OpenStreetMap (match building/yes), moved 0.87 km from the previous point</x:t>
  </x:si>
  <x:si>
    <x:t xml:space="preserve">DE-SN-15</x:t>
  </x:si>
  <x:si>
    <x:t xml:space="preserve">EAE Chemnitz</x:t>
  </x:si>
  <x:si>
    <x:t xml:space="preserve">Adalbert-Stifter-Weg 25, 09131 Chemnitz</x:t>
  </x:si>
  <x:si>
    <x:t xml:space="preserve">web.archive.org lds.sachsen.de (Wayback snapshots 09/2024 and 03/2025); medienservice.sachsen.de (Adalbert-Stifter-Weg 700)</x:t>
  </x:si>
  <x:si>
    <x:t xml:space="preserve">building-level geocode via Nominatim/OpenStreetMap (match building/yes), moved 1.65 km from the previous point</x:t>
  </x:si>
  <x:si>
    <x:t xml:space="preserve">DE-SN-16</x:t>
  </x:si>
  <x:si>
    <x:t xml:space="preserve">EAE Dresden</x:t>
  </x:si>
  <x:si>
    <x:t xml:space="preserve">Hammerweg 26, 01127 Dresden</x:t>
  </x:si>
  <x:si>
    <x:t xml:space="preserve">lds.sachsen.de (official site page, current); web.archive.org (Wayback 09/2024, 03/2025) || Same LDS directory gives 'Hammerweg 26, 01127 Dresden' as the main Dresden address — worth cross-checking against this row's current address field.</x:t>
  </x:si>
  <x:si>
    <x:t xml:space="preserve">building-level geocode via Nominatim/OpenStreetMap (match amenity/courthouse), moved 1.03 km from the previous point</x:t>
  </x:si>
  <x:si>
    <x:t xml:space="preserve">DE-SN-17</x:t>
  </x:si>
  <x:si>
    <x:t xml:space="preserve">EAE Leipzig</x:t>
  </x:si>
  <x:si>
    <x:t xml:space="preserve">Max-Liebermann-Straße 36b, 04159 Leipzig</x:t>
  </x:si>
  <x:si>
    <x:t xml:space="preserve">re-geocoded with a structured Nominatim query (street/postcode/city) after the free-text query had returned a different street; road Max-Liebermann-Straße, postcode 04159, match place/house, moved 0.97 km</x:t>
  </x:si>
  <x:si>
    <x:t xml:space="preserve">DE-ST-01</x:t>
  </x:si>
  <x:si>
    <x:t xml:space="preserve">ST</x:t>
  </x:si>
  <x:si>
    <x:t xml:space="preserve">Sachsen-Anhalt</x:t>
  </x:si>
  <x:si>
    <x:t xml:space="preserve">Landesaufnahmeeinrichtung Stendal</x:t>
  </x:si>
  <x:si>
    <x:t xml:space="preserve">State reception facility (Landesaufnahmeeinrichtung)</x:t>
  </x:si>
  <x:si>
    <x:t xml:space="preserve">State of Sachsen-Anhalt (ZASt)</x:t>
  </x:si>
  <x:si>
    <x:t xml:space="preserve">Stendal</x:t>
  </x:si>
  <x:si>
    <x:t xml:space="preserve">Gardelegener Straße 120, 39576 Stendal</x:t>
  </x:si>
  <x:si>
    <x:t xml:space="preserve">mi.sachsen-anhalt.de; blsa.sachsen-anhalt.de; Caritas Sachsen-Anhalt (Gardelegener Str. 120) || Official Ministry press release 048/2023 (04.05.2023): partial operation Q2 2024 with '500 bis 600 Asylsuchende' — close match to roster's 500: https://sachsen-anhalt.de/fileadmin/tsa_rssinclude/048_Teilinbetriebnahme-LAE-Stendal.pdf ; official factsheet confirms ultimate target of 1.000 places: https://blsa.sachsen-anhalt.de/fileadmin/Bibliothek/BLSA/BLSA/Dokumente/FS-Steckbriefe/Steckbrief_LAE_web.pdf</x:t>
  </x:si>
  <x:si>
    <x:t xml:space="preserve">re-geocoded with a structured Nominatim query (street/postcode/city) after the free-text query had returned a different street; road Gardelegener Straße, postcode 39576, match office/government, moved 2.83 km</x:t>
  </x:si>
  <x:si>
    <x:t xml:space="preserve">DE-ST-02</x:t>
  </x:si>
  <x:si>
    <x:t xml:space="preserve">ZASt Außenstelle Magdeburg</x:t>
  </x:si>
  <x:si>
    <x:t xml:space="preserve">Branch site of the ZASt</x:t>
  </x:si>
  <x:si>
    <x:t xml:space="preserve">Magdeburg</x:t>
  </x:si>
  <x:si>
    <x:t xml:space="preserve">Breitscheidstraße 53, 39114 Magdeburg</x:t>
  </x:si>
  <x:si>
    <x:t xml:space="preserve">Flüchtlingsrat Sachsen-Anhalt (contact list, Breitscheidstr. 53); press article 09/2025 (closure "at the end of the year") || Official Ministry press release (04.11.2025) confirms address 'Breitscheidstraße' and continuous operation up to a planned end-2025 closure: https://mi.sachsen-anhalt.de/fileadmin/tsa_rssinclude/ministerium-fur-inneres-und-sport_04_11_2025_pressemitteilung_asylzugaenge-in-sachsen-anhalt-auch-im-oktober-2025-weiter-deutlich-ruecklaeufig.pdf</x:t>
  </x:si>
  <x:si>
    <x:t xml:space="preserve">re-geocoded with a structured Nominatim query (street/postcode/city) after the free-text query had returned a different street; road Breitscheidstraße, postcode 39114, match building/yes, moved 3.90 km</x:t>
  </x:si>
  <x:si>
    <x:t xml:space="preserve">DE-ST-03</x:t>
  </x:si>
  <x:si>
    <x:t xml:space="preserve">ZASt Außenstelle Quedlinburg</x:t>
  </x:si>
  <x:si>
    <x:t xml:space="preserve">Quedlinburg</x:t>
  </x:si>
  <x:si>
    <x:t xml:space="preserve">Wipertistraße, 06484 Quedlinburg (house number to be established; state-owned building)</x:t>
  </x:si>
  <x:si>
    <x:t xml:space="preserve">mi.sachsen-anhalt.de PM 089/2025 (closure on 30.06.2025) || Official Ministry press release (26.06.2025) announces closure — confirms continuous operation up to mid-2025, well past the election: https://presse.sachsen-anhalt.de/wp-content/uploads/pdf/ministerium-fur-inneres-und-sport_26_06_2025_Pressemitteilung_land-schliesst-unterkunft-in-quedlinburg.pdf</x:t>
  </x:si>
  <x:si>
    <x:t xml:space="preserve">street-level geocode via Nominatim/OpenStreetMap (match highway/residential), moved 0.08 km from the previous point</x:t>
  </x:si>
  <x:si>
    <x:t xml:space="preserve">DE-ST-04</x:t>
  </x:si>
  <x:si>
    <x:t xml:space="preserve">ZASt Halberstadt (Hauptstelle)</x:t>
  </x:si>
  <x:si>
    <x:t xml:space="preserve">ZASt (main site)</x:t>
  </x:si>
  <x:si>
    <x:t xml:space="preserve">Halberstadt</x:t>
  </x:si>
  <x:si>
    <x:t xml:space="preserve">Friedrich-List-Strasse 1a, 38820 Halberstadt</x:t>
  </x:si>
  <x:si>
    <x:t xml:space="preserve">lvwa.sachsen-anhalt.de (official ZASt page); sachsen-anhalt.de Pressemitteilungen || Official procurement document (evergabe.de, 09.04.2025 — 45 days post-election) gives the exact figure 'Unterbringungsbruttokapazität ... maximal 1548 Plätze' for the Hauptliegenschaft: https://evergabe.de/unterlagen/937899/download/2041578?id=3160867</x:t>
  </x:si>
  <x:si>
    <x:t xml:space="preserve">building-level geocode via Nominatim/OpenStreetMap (match building/yes), moved 5.11 km from the previous point</x:t>
  </x:si>
  <x:si>
    <x:t xml:space="preserve">DE-TH-01</x:t>
  </x:si>
  <x:si>
    <x:t xml:space="preserve">TH</x:t>
  </x:si>
  <x:si>
    <x:t xml:space="preserve">Thüringen</x:t>
  </x:si>
  <x:si>
    <x:t xml:space="preserve">Außenstelle Eisenberg (EAE Suhl)</x:t>
  </x:si>
  <x:si>
    <x:t xml:space="preserve">Thüringer Landesverwaltungsamt (Thuringian state administration office)</x:t>
  </x:si>
  <x:si>
    <x:t xml:space="preserve">Eisenberg</x:t>
  </x:si>
  <x:si>
    <x:t xml:space="preserve">UNVERIFIED — to be established (not to be confused with the former Landesaufnahmestelle, closed in 2016). Documents locate the branch in the Saasa district of Eisenberg.</x:t>
  </x:si>
  <x:si>
    <x:t xml:space="preserve">parldok.thueringer-landtag.de/ParlDok/dokument/100475/... (Drs. 8/456, 05.02.2025, offizielle Antwort TMIK)</x:t>
  </x:si>
  <x:si>
    <x:t xml:space="preserve">DE-TH-02</x:t>
  </x:si>
  <x:si>
    <x:t xml:space="preserve">EAE Suhl</x:t>
  </x:si>
  <x:si>
    <x:t xml:space="preserve">Suhl</x:t>
  </x:si>
  <x:si>
    <x:t xml:space="preserve">Weidbergstrasse 5, 98527 Suhl (Friedberg)</x:t>
  </x:si>
  <x:si>
    <x:t xml:space="preserve">Thüringer Landesverwaltungsamt (official page) || Thüringer Landtag Drucksache 8/434 (Antwort 31.01.2025 — 23 days pre-election) confirms planned closure and ongoing replacement-site search: https://parldok.thueringer-landtag.de/ParlDok/dokument/100449/ersatz_fuer_die_zu_schliessende_erstaufnahmeeinrichtung_des_freistaats_thueringen.pdf ; TED tender 493080-2024 confirms joint Suhl/Eisenberg administration: https://ted.europa.eu/de/notice/493080-2024/pdf</x:t>
  </x:si>
  <x:si>
    <x:t xml:space="preserve">building-level geocode via Nominatim/OpenStreetMap (match place/house), moved 0.92 km from the previous point</x:t>
  </x:si>
  <x:si>
    <x:t xml:space="preserve">DE-BY-28</x:t>
  </x:si>
  <x:si>
    <x:t xml:space="preserve">ANKER Oberbayern — Dependance Waldkraiburg</x:t>
  </x:si>
  <x:si>
    <x:t xml:space="preserve">Waldkraiburg</x:t>
  </x:si>
  <x:si>
    <x:t xml:space="preserve">CANDIDATE (not government-confirmed): Neisseweg 2-10, 84478 Waldkraiburg — matches 'former BFZ Peters site' by name via Google Places; former street/house number not established from an official source</x:t>
  </x:si>
  <x:si>
    <x:t xml:space="preserve">bayernportal.de (official ANKER composition); waldkraiburg.de PM 35/2025 (extension of operation by five years); PM Reg. v. Oberbayern 279/2015 || AGS 09183148 per official municipality statistics (citypopulation.de, Destatis-derived). Candidate building coordinates found 09/2026 by Claude via Google Places match on the facility name 'BFZ Peters' — NOT an official government confirmation, flagged accordingly. || Official Stadt Waldkraiburg press release PM 35/2025 confirms verbatim 'auf dem ehemaligen Gelände des BFZ Peters' (operated since 2015, operator Max Aicher GmbH &amp; Co.KG): https://www.waldkraiburg.de/cdn/uploads/pm-35-ankerzentrum.pdf — this officially corroborates the SITE identity, but not the specific street number (Neisseweg 2-10 remains a Google Places match only, not government-confirmed).</x:t>
  </x:si>
  <x:si>
    <x:t xml:space="preserve">building (candidate, not officially confirmed)</x:t>
  </x:si>
  <x:si>
    <x:t xml:space="preserve">DE-HE-06</x:t>
  </x:si>
  <x:si>
    <x:t xml:space="preserve">EAEH Darmstadt — Kelley Barracks</x:t>
  </x:si>
  <x:si>
    <x:t xml:space="preserve">Darmstadt</x:t>
  </x:si>
  <x:si>
    <x:t xml:space="preserve">Eschollbrücker Straße (former Kelley Barracks), Darmstadt (house number not published)</x:t>
  </x:si>
  <x:si>
    <x:t xml:space="preserve">Regierungspräsidium Gießen press release 09/2022 ('Vom Kindergarten bis zum Sprachkurs': about 450 residents 'in der ehemaligen Kaserne an der Eschollbrücker Straße in Darmstadt', residents since June 2022); cabinet decision 11/2021 to reactivate four buildings for about 750 people; DRK Darmstadt runs asylum procedure counselling on site since 2023 and still lists the site.</x:t>
  </x:si>
  <x:si>
    <x:t xml:space="preserve">Operating on 23.02.2025: residents since June 2022, counselling on site from 2023 onwards, site still listed by the operator. Capacity 750 is the planning figure of 11/2021. || geocoded via Nominatim, query 'Kelley Barracks, Darmstadt, Hessen, Germany'; returned  64295, Darmstadt; match place/locality</x:t>
  </x:si>
  <x:si>
    <x:t xml:space="preserve">DE-HE-07</x:t>
  </x:si>
  <x:si>
    <x:t xml:space="preserve">EAEH Darmstadt — Starkenburg-Kaserne</x:t>
  </x:si>
  <x:si>
    <x:t xml:space="preserve">Michaelisstraße 35, 64293 Darmstadt (former Starkenburg-Kaserne)</x:t>
  </x:si>
  <x:si>
    <x:t xml:space="preserve">DRK Darmstadt: asylum procedure counselling in both Hessian reception sites in Darmstadt (Kelley-Barracks and Starkenburg-Kaserne); second counselling office at the Starkenburg-Kaserne opened in August 2024, funded by the Hessian Ministry of Social Affairs. Street address and capacity (600) from migrantsnearme.com, which cites Regierungspräsidium Gießen as its source - the primary document was not seen.</x:t>
  </x:si>
  <x:si>
    <x:t xml:space="preserve">Operating on 23.02.2025: counselling office on site opened in August 2024. ADDRESS NOT FROM A PRIMARY SOURCE - Michaelisstraße 35 and the 600 places come from an aggregator; confirm against an official document if possible. || geocoded via Nominatim, query 'Michaelisstraße 35, 64293 Darmstadt'; returned Michaelisstraße 64293, Darmstadt; match building/yes</x:t>
  </x:si>
  <x:si>
    <x:t xml:space="preserve">DE-HE-08</x:t>
  </x:si>
  <x:si>
    <x:t xml:space="preserve">EAEH Friedberg — Ray Barracks</x:t>
  </x:si>
  <x:si>
    <x:t xml:space="preserve">Friedberg (Hessen)</x:t>
  </x:si>
  <x:si>
    <x:t xml:space="preserve">Am Wartfeld (former Ray Barracks), 61169 Friedberg (Hessen) (house number not published)</x:t>
  </x:si>
  <x:si>
    <x:t xml:space="preserve">Regierungspräsidium Gießen press release 03/2022 (EAEH site in the former Ray Barracks 'Am Wartfeld'; 1,350 places in the buildings, 1,000 realistic); Internationales Zentrum Friedberg 09/2023 (about 1,000 residents, 800 in buildings and 200 in lightweight halls); listed among current EAEH sites on Wikipedia.</x:t>
  </x:si>
  <x:si>
    <x:t xml:space="preserve">OPERATION ON 23.02.2025 NOT CONFIRMED DIRECTLY. Opened in spring 2022, about 1,000 residents in autumn 2023, still listed among current sites, no closure found. Note that BImA put the whole barracks site up for sale in 09/2023. Run the model with and without this row. || geocoded via Nominatim, query 'Am Wartfeld, 61169 Friedberg'; returned Am Wartfeld 61169, Friedberg; match highway/residential</x:t>
  </x:si>
  <x:si>
    <x:t xml:space="preserve">DE-HE-09</x:t>
  </x:si>
  <x:si>
    <x:t xml:space="preserve">EAEH Bad Arolsen — Prinz-Eugen-Kaserne</x:t>
  </x:si>
  <x:si>
    <x:t xml:space="preserve">Bad Arolsen</x:t>
  </x:si>
  <x:si>
    <x:t xml:space="preserve">Former Prinz-Eugen-Kaserne, Bad Arolsen-Mengeringhausen, 34454 Bad Arolsen (street not published)</x:t>
  </x:si>
  <x:si>
    <x:t xml:space="preserve">Oberhessische Presse 27.08.2020 (Regierungspräsidium Gießen: site reactivated from 14.09.2020 for up to 350 people); hessenschau 08.06.2026 (Hessian Ministry of Social Affairs: site to close at the end of 2026); Waldeckische Landeszeitung 2018 (location: the barracks in Mengeringhausen).</x:t>
  </x:si>
  <x:si>
    <x:t xml:space="preserve">district</x:t>
  </x:si>
  <x:si>
    <x:t xml:space="preserve">Operating on 23.02.2025: reactivated 14.09.2020, closure only at the end of 2026. No street address published; if the barracks is not found in OpenStreetMap the point falls back to the centre of the Mengeringhausen district of Bad Arolsen. || geocoded via Nominatim, query 'Mengeringhausen, 34454 Bad Arolsen, Hessen, Germany'; returned  , Mengeringhausen; match boundary/administrative</x:t>
  </x:si>
  <x:si>
    <x:t xml:space="preserve">DE-BY-29</x:t>
  </x:si>
  <x:si>
    <x:t xml:space="preserve">ANKER Schwaben — Mering</x:t>
  </x:si>
  <x:si>
    <x:t xml:space="preserve">Mering</x:t>
  </x:si>
  <x:si>
    <x:t xml:space="preserve">Hörmannsberger Straße 18, 86415 Mering</x:t>
  </x:si>
  <x:si>
    <x:t xml:space="preserve">TED contract notice 483933-2023 (catering for 'Unterkunfts-Dependance Hörmannsberger Straße 18 in 86415 Mering mit bis zu 176 Plätzen', contract 2024 renewable to 31.12.2026); Regierung von Schwaben press release PM 23-021 (09/2023) lists Mering as an existing dependency; official ANKER composition (BayernPortal) lists Mering; Markt Mering, summary of the asylum meeting of 18.09.2024</x:t>
  </x:si>
  <x:si>
    <x:t xml:space="preserve">OPERATION ON 23.02.2025 UNCERTAIN. The municipality of Mering reported on 18.09.2024 that the dependency normally houses about 120 people but was 'currently not occupied because of repair work after the flood damage' (June 2024 flood on the Paar). No source was found confirming reoccupation before the election. The codebook requires residents to actually live on site at the reference date, so this row should be run as a sensitivity case: estimate the model with and without DE-BY-29. || geocoded with a structured Nominatim query (street/postcode/city); road Hörmannsberger Straße, postcode 86415, match building/yes</x:t>
  </x:si>
  <x:si>
    <x:t xml:space="preserve">DE-BY-30</x:t>
  </x:si>
  <x:si>
    <x:t xml:space="preserve">ANKER Schwaben — Neu-Ulm</x:t>
  </x:si>
  <x:si>
    <x:t xml:space="preserve">Neu-Ulm</x:t>
  </x:si>
  <x:si>
    <x:t xml:space="preserve">Im Starkfeld 61, 89231 Neu-Ulm</x:t>
  </x:si>
  <x:si>
    <x:t xml:space="preserve">Procurement notices of Regierung von Schwaben, 2021 (security services, cleaning, courier and catering for 'Unterkunfts-Dependance Neu-Ulm, Im Starkfeld 61, 89231 Neu-Ulm'); Regierung von Schwaben press release PM 23-021 (09/2023); official ANKER composition (BayernPortal); Landratsamt Neu-Ulm service page on the ANKER dependency 'im Starkfeld'. Capacity: planned figure of 250 (Schwäbische Zeitung, 03/2019).</x:t>
  </x:si>
  <x:si>
    <x:t xml:space="preserve">In continuous operation from 2021 (tenders) through 2023 (PM 23-021) to the present official composition, so operating on 23.02.2025. Former warehouse building ('Speichergebäude') in the Starkfeld industrial estate. || geocoded with a structured Nominatim query (street/postcode/city); road Im Starkfeld, postcode 89231, match building/dormitory</x:t>
  </x:si>
  <x:si>
    <x:t xml:space="preserve">DE-BE-03</x:t>
  </x:si>
  <x:si>
    <x:t xml:space="preserve">BE</x:t>
  </x:si>
  <x:si>
    <x:t xml:space="preserve">Berlin</x:t>
  </x:si>
  <x:si>
    <x:t xml:space="preserve">AE Berlin — Eschenallee (Haus 1)</x:t>
  </x:si>
  <x:si>
    <x:t xml:space="preserve">Reception facility (Aufnahmeeinrichtung, AE)</x:t>
  </x:si>
  <x:si>
    <x:t xml:space="preserve">LfG-B (state operator)</x:t>
  </x:si>
  <x:si>
    <x:t xml:space="preserve">Eschenallee (Haus 1), Berlin (Charlottenburg-Wilmersdorf) (house number not published)</x:t>
  </x:si>
  <x:si>
    <x:t xml:space="preserve">Abgeordnetenhaus Berlin, Drs. 19/21327, Anlage 1 (answer of the Senate, 30.01.2025), reference date 02.01.2025. Occupancy on 02.01.2025: 90. In operation 02.03.2015 to open-ended.</x:t>
  </x:si>
  <x:si>
    <x:t xml:space="preserve">street-level geocode via Nominatim ('Eschenallee', Berlin); returned Eschenallee, Charlottenburg-Wilmersdorf</x:t>
  </x:si>
  <x:si>
    <x:t xml:space="preserve">DE-BE-04</x:t>
  </x:si>
  <x:si>
    <x:t xml:space="preserve">AE Berlin — Kopernikusstraße / Gubener Straße</x:t>
  </x:si>
  <x:si>
    <x:t xml:space="preserve">Verein für Berliner Stadtmission</x:t>
  </x:si>
  <x:si>
    <x:t xml:space="preserve">Kopernikusstraße / Gubener Straße, Berlin (Friedrichshain-Kreuzberg) (house number not published)</x:t>
  </x:si>
  <x:si>
    <x:t xml:space="preserve">Abgeordnetenhaus Berlin, Drs. 19/21327, Anlage 1 (answer of the Senate, 30.01.2025), reference date 02.01.2025. Occupancy on 02.01.2025: 273. In operation 01.01.2023 to 31.03.2026.</x:t>
  </x:si>
  <x:si>
    <x:t xml:space="preserve">street-level geocode via Nominatim ('Kopernikusstraße', Berlin); returned Kopernikusstraße, Friedrichshain-Kreuzberg</x:t>
  </x:si>
  <x:si>
    <x:t xml:space="preserve">DE-BE-05</x:t>
  </x:si>
  <x:si>
    <x:t xml:space="preserve">AE Berlin — Warschauer Platz</x:t>
  </x:si>
  <x:si>
    <x:t xml:space="preserve">Warschauer Platz, Berlin (Friedrichshain-Kreuzberg) (house number not published)</x:t>
  </x:si>
  <x:si>
    <x:t xml:space="preserve">Abgeordnetenhaus Berlin, Drs. 19/21327, Anlage 1 (answer of the Senate, 30.01.2025), reference date 02.01.2025. Occupancy on 02.01.2025: 378. In operation 14.07.2023 to 31.08.2026.</x:t>
  </x:si>
  <x:si>
    <x:t xml:space="preserve">street-level geocode via Nominatim ('Warschauer Platz', Berlin); returned Warschauer Platz, Friedrichshain-Kreuzberg</x:t>
  </x:si>
  <x:si>
    <x:t xml:space="preserve">DE-BE-06</x:t>
  </x:si>
  <x:si>
    <x:t xml:space="preserve">AE Berlin — Rhinstraße</x:t>
  </x:si>
  <x:si>
    <x:t xml:space="preserve">AWO Kreisverband Berlin Mitte</x:t>
  </x:si>
  <x:si>
    <x:t xml:space="preserve">Rhinstraße, Berlin (Lichtenberg) (house number not published)</x:t>
  </x:si>
  <x:si>
    <x:t xml:space="preserve">Abgeordnetenhaus Berlin, Drs. 19/21327, Anlage 1 (answer of the Senate, 30.01.2025), reference date 02.01.2025. Occupancy on 02.01.2025: 362. In operation 01.03.2017 to 30.06.2032.</x:t>
  </x:si>
  <x:si>
    <x:t xml:space="preserve">street-level geocode via Nominatim ('Rhinstraße', Berlin); returned Rhinstraße, Lichtenberg</x:t>
  </x:si>
  <x:si>
    <x:t xml:space="preserve">DE-BE-07</x:t>
  </x:si>
  <x:si>
    <x:t xml:space="preserve">AE Berlin — Wotanstraße</x:t>
  </x:si>
  <x:si>
    <x:t xml:space="preserve">DRK Müggelspree Nothilfe</x:t>
  </x:si>
  <x:si>
    <x:t xml:space="preserve">Wotanstraße, Berlin (Lichtenberg) (house number not published)</x:t>
  </x:si>
  <x:si>
    <x:t xml:space="preserve">Abgeordnetenhaus Berlin, Drs. 19/21327, Anlage 1 (answer of the Senate, 30.01.2025), reference date 02.01.2025. Occupancy on 02.01.2025: 95. In operation 15.03.2021 to 14.01.2026.</x:t>
  </x:si>
  <x:si>
    <x:t xml:space="preserve">street-level geocode via Nominatim ('Wotanstraße', Berlin); returned Wotanstraße, Lichtenberg</x:t>
  </x:si>
  <x:si>
    <x:t xml:space="preserve">DE-BE-08</x:t>
  </x:si>
  <x:si>
    <x:t xml:space="preserve">AE Berlin — Hausvaterweg</x:t>
  </x:si>
  <x:si>
    <x:t xml:space="preserve">Hausvaterweg, Berlin (Lichtenberg) (house number not published)</x:t>
  </x:si>
  <x:si>
    <x:t xml:space="preserve">Abgeordnetenhaus Berlin, Drs. 19/21327, Anlage 1 (answer of the Senate, 30.01.2025), reference date 02.01.2025. Occupancy on 02.01.2025: 215. In operation 01.03.2015 to 31.12.2025.</x:t>
  </x:si>
  <x:si>
    <x:t xml:space="preserve">street-level geocode via Nominatim ('Hausvaterweg', Berlin); returned Hausvaterweg, Lichtenberg</x:t>
  </x:si>
  <x:si>
    <x:t xml:space="preserve">DE-BE-09</x:t>
  </x:si>
  <x:si>
    <x:t xml:space="preserve">AE Berlin — Dingolfinger Straße</x:t>
  </x:si>
  <x:si>
    <x:t xml:space="preserve">CJD Berlin-Brandenburg</x:t>
  </x:si>
  <x:si>
    <x:t xml:space="preserve">Dingolfinger Straße, Berlin (Marzahn-Hellersdorf) (house number not published)</x:t>
  </x:si>
  <x:si>
    <x:t xml:space="preserve">Abgeordnetenhaus Berlin, Drs. 19/21327, Anlage 1 (answer of the Senate, 30.01.2025), reference date 02.01.2025. Occupancy on 02.01.2025: 290. In operation 01.01.2017 to 31.12.2025.</x:t>
  </x:si>
  <x:si>
    <x:t xml:space="preserve">street-level geocode via Nominatim ('Dingolfinger Straße', Berlin); returned Dingolfinger Straße, Marzahn-Hellersdorf</x:t>
  </x:si>
  <x:si>
    <x:t xml:space="preserve">DE-BE-10</x:t>
  </x:si>
  <x:si>
    <x:t xml:space="preserve">AE Berlin — Blumberger Damm</x:t>
  </x:si>
  <x:si>
    <x:t xml:space="preserve">Hero Service</x:t>
  </x:si>
  <x:si>
    <x:t xml:space="preserve">Blumberger Damm, Berlin (Marzahn-Hellersdorf) (house number not published)</x:t>
  </x:si>
  <x:si>
    <x:t xml:space="preserve">Abgeordnetenhaus Berlin, Drs. 19/21327, Anlage 1 (answer of the Senate, 30.01.2025), reference date 02.01.2025. Occupancy on 02.01.2025: 272. In operation 01.11.2024 to 30.11.2026.</x:t>
  </x:si>
  <x:si>
    <x:t xml:space="preserve">street-level geocode via Nominatim ('Blumberger Damm', Berlin); returned Blumberger Damm, Marzahn-Hellersdorf</x:t>
  </x:si>
  <x:si>
    <x:t xml:space="preserve">DE-BE-11</x:t>
  </x:si>
  <x:si>
    <x:t xml:space="preserve">AE Berlin — Invalidenstraße</x:t>
  </x:si>
  <x:si>
    <x:t xml:space="preserve">Invalidenstraße, Berlin (Mitte) (house number not published)</x:t>
  </x:si>
  <x:si>
    <x:t xml:space="preserve">Abgeordnetenhaus Berlin, Drs. 19/21327, Anlage 1 (answer of the Senate, 30.01.2025), reference date 02.01.2025. Occupancy on 02.01.2025: 262. In operation 09.12.2022 to 30.11.2025.</x:t>
  </x:si>
  <x:si>
    <x:t xml:space="preserve">street-level geocode via Nominatim ('Invalidenstraße', Berlin); returned Invalidenstraße, Mitte</x:t>
  </x:si>
  <x:si>
    <x:t xml:space="preserve">DE-BE-12</x:t>
  </x:si>
  <x:si>
    <x:t xml:space="preserve">AE Berlin — Buchholzer Straße</x:t>
  </x:si>
  <x:si>
    <x:t xml:space="preserve">Albatros</x:t>
  </x:si>
  <x:si>
    <x:t xml:space="preserve">Buchholzer Straße, Berlin (Pankow) (house number not published)</x:t>
  </x:si>
  <x:si>
    <x:t xml:space="preserve">Abgeordnetenhaus Berlin, Drs. 19/21327, Anlage 1 (answer of the Senate, 30.01.2025), reference date 02.01.2025. Occupancy on 02.01.2025: 331. In operation 01.11.2016 to 31.12.2025.</x:t>
  </x:si>
  <x:si>
    <x:t xml:space="preserve">street-level geocode via Nominatim ('Buchholzer Straße', Berlin); returned Buchholzer Straße, Pankow</x:t>
  </x:si>
  <x:si>
    <x:t xml:space="preserve">DE-BE-13</x:t>
  </x:si>
  <x:si>
    <x:t xml:space="preserve">AE Berlin — Treskowstraße</x:t>
  </x:si>
  <x:si>
    <x:t xml:space="preserve">Treskowstraße, Berlin (Pankow) (house number not published)</x:t>
  </x:si>
  <x:si>
    <x:t xml:space="preserve">Abgeordnetenhaus Berlin, Drs. 19/21327, Anlage 1 (answer of the Senate, 30.01.2025), reference date 02.01.2025. Occupancy on 02.01.2025: 210. In operation 01.03.2021 to 31.08.2026.</x:t>
  </x:si>
  <x:si>
    <x:t xml:space="preserve">street-level geocode via Nominatim ('Treskowstraße', Berlin); returned Treskowstraße, Pankow</x:t>
  </x:si>
  <x:si>
    <x:t xml:space="preserve">DE-BE-14</x:t>
  </x:si>
  <x:si>
    <x:t xml:space="preserve">AE Berlin — Siverstorpstraße</x:t>
  </x:si>
  <x:si>
    <x:t xml:space="preserve">Siverstorpstraße, Berlin (Pankow) (house number not published)</x:t>
  </x:si>
  <x:si>
    <x:t xml:space="preserve">Abgeordnetenhaus Berlin, Drs. 19/21327, Anlage 1 (answer of the Senate, 30.01.2025), reference date 02.01.2025. Occupancy on 02.01.2025: 296. In operation 02.12.2016 to open-ended.</x:t>
  </x:si>
  <x:si>
    <x:t xml:space="preserve">street-level geocode via Nominatim ('Siverstorpstraße', Berlin); returned Siverstorpstraße, Pankow</x:t>
  </x:si>
  <x:si>
    <x:t xml:space="preserve">DE-BE-15</x:t>
  </x:si>
  <x:si>
    <x:t xml:space="preserve">AE Berlin — Kurt-Schumacher-Damm</x:t>
  </x:si>
  <x:si>
    <x:t xml:space="preserve">European Homecare</x:t>
  </x:si>
  <x:si>
    <x:t xml:space="preserve">Kurt-Schumacher-Damm, Berlin (Reinickendorf) (house number not published)</x:t>
  </x:si>
  <x:si>
    <x:t xml:space="preserve">Abgeordnetenhaus Berlin, Drs. 19/21327, Anlage 1 (answer of the Senate, 30.01.2025), reference date 02.01.2025. Occupancy on 02.01.2025: 308. In operation 01.01.2022 to open-ended.</x:t>
  </x:si>
  <x:si>
    <x:t xml:space="preserve">street-level geocode via Nominatim ('Kurt-Schumacher-Damm', Berlin); returned Kurt-Schumacher-Damm, Charlottenburg-Wilmersdorf - WARNING: district Reinickendorf not confirmed by OSM</x:t>
  </x:si>
  <x:si>
    <x:t xml:space="preserve">DE-BE-16</x:t>
  </x:si>
  <x:si>
    <x:t xml:space="preserve">AE Berlin — Askanierring</x:t>
  </x:si>
  <x:si>
    <x:t xml:space="preserve">Askanierring, Berlin (Spandau) (house number not published)</x:t>
  </x:si>
  <x:si>
    <x:t xml:space="preserve">Abgeordnetenhaus Berlin, Drs. 19/21327, Anlage 1 (answer of the Senate, 30.01.2025), reference date 02.01.2025. Occupancy on 02.01.2025: 273. In operation 01.01.2014 to 31.01.2042.</x:t>
  </x:si>
  <x:si>
    <x:t xml:space="preserve">street-level geocode via Nominatim ('Askanierring', Berlin); returned Askanierring, Spandau</x:t>
  </x:si>
  <x:si>
    <x:t xml:space="preserve">DE-BE-17</x:t>
  </x:si>
  <x:si>
    <x:t xml:space="preserve">AE Berlin — Zum Heckeshorn</x:t>
  </x:si>
  <x:si>
    <x:t xml:space="preserve">Zum Heckeshorn, Berlin (Steglitz-Zehlendorf) (house number not published)</x:t>
  </x:si>
  <x:si>
    <x:t xml:space="preserve">Abgeordnetenhaus Berlin, Drs. 19/21327, Anlage 1 (answer of the Senate, 30.01.2025), reference date 02.01.2025. Occupancy on 02.01.2025: 198. In operation 18.12.2015 to open-ended.</x:t>
  </x:si>
  <x:si>
    <x:t xml:space="preserve">street-level geocode via Nominatim ('Zum Heckeshorn', Berlin); returned Zum Heckeshorn, Steglitz-Zehlendorf</x:t>
  </x:si>
  <x:si>
    <x:t xml:space="preserve">DE-BE-18</x:t>
  </x:si>
  <x:si>
    <x:t xml:space="preserve">AE Berlin — Schwalbenweg</x:t>
  </x:si>
  <x:si>
    <x:t xml:space="preserve">Volkssolidarität</x:t>
  </x:si>
  <x:si>
    <x:t xml:space="preserve">Schwalbenweg, Berlin (Treptow-Köpenick) (house number not published)</x:t>
  </x:si>
  <x:si>
    <x:t xml:space="preserve">Abgeordnetenhaus Berlin, Drs. 19/21327, Anlage 1 (answer of the Senate, 30.01.2025), reference date 02.01.2025. Occupancy on 02.01.2025: 375. In operation 01.12.2015 to 30.11.2028.</x:t>
  </x:si>
  <x:si>
    <x:t xml:space="preserve">street-level geocode via Nominatim ('Schwalbenweg', Berlin); returned Schwalbenweg, Treptow-Köpenick</x:t>
  </x:si>
  <x:si>
    <x:t xml:space="preserve">DE-BE-19</x:t>
  </x:si>
  <x:si>
    <x:t xml:space="preserve">AE Berlin — Kiefholzstraße</x:t>
  </x:si>
  <x:si>
    <x:t xml:space="preserve">LfG-B (state operator) — LGBTIQ* unit</x:t>
  </x:si>
  <x:si>
    <x:t xml:space="preserve">Kiefholzstraße, Berlin (Treptow-Köpenick) (house number not published)</x:t>
  </x:si>
  <x:si>
    <x:t xml:space="preserve">Abgeordnetenhaus Berlin, Drs. 19/21327, Anlage 1 (answer of the Senate, 30.01.2025), reference date 02.01.2025. Occupancy on 02.01.2025: 31. In operation 09.02.2016 to 12.04.2026.</x:t>
  </x:si>
  <x:si>
    <x:t xml:space="preserve">street-level geocode via Nominatim ('Kiefholzstraße', Berlin); returned Kiefholzstraße, Treptow-Köpenick</x:t>
  </x:si>
  <x:si>
    <x:t xml:space="preserve">DE-BE-20</x:t>
  </x:si>
  <x:si>
    <x:t xml:space="preserve">AE Berlin — Quittenweg</x:t>
  </x:si>
  <x:si>
    <x:t xml:space="preserve">Quittenweg, Berlin (Treptow-Köpenick) (house number not published)</x:t>
  </x:si>
  <x:si>
    <x:t xml:space="preserve">Abgeordnetenhaus Berlin, Drs. 19/21327, Anlage 1 (answer of the Senate, 30.01.2025), reference date 02.01.2025. Occupancy on 02.01.2025: 204. In operation 12.08.2016 to open-ended.</x:t>
  </x:si>
  <x:si>
    <x:t xml:space="preserve">street-level geocode via Nominatim ('Quittenweg', Berlin); returned Quittenweg, Treptow-Köpenick</x:t>
  </x:si>
  <x:si>
    <x:t xml:space="preserve">DE-NW-Z01</x:t>
  </x:si>
  <x:si>
    <x:t xml:space="preserve">ZUE Hamm</x:t>
  </x:si>
  <x:si>
    <x:t xml:space="preserve">Central accommodation facility (Zentrale Unterbringungseinrichtung, ZUE)</x:t>
  </x:si>
  <x:si>
    <x:t xml:space="preserve">Hamm</x:t>
  </x:si>
  <x:si>
    <x:t xml:space="preserve">Alter Uentruper Weg 20, 59229 Hamm (former Newcastle Barracks)</x:t>
  </x:si>
  <x:si>
    <x:t xml:space="preserve">Landtag NRW, Vorlage 18/3663 (report of the Ministry MKJFGFI, 14.03.2025), reference date 31.01.2025 || Address: Ministry MKJFGFI NRW, contact list of counselling services at state facilities, Q4 2023 (services located at the ZUE) - 'Alter Uentruper Weg 20, 59229 Hamm'</x:t>
  </x:si>
  <x:si>
    <x:t xml:space="preserve">geocoded via Nominatim, query 'Alter Uentroper Weg, 59229 Hamm'; returned Alter Uentroper Weg 59071; match highway/tertiary</x:t>
  </x:si>
  <x:si>
    <x:t xml:space="preserve">DE-NW-Z02</x:t>
  </x:si>
  <x:si>
    <x:t xml:space="preserve">ZUE Möhnesee</x:t>
  </x:si>
  <x:si>
    <x:t xml:space="preserve">Möhnesee</x:t>
  </x:si>
  <x:si>
    <x:t xml:space="preserve">Auf der Alm 3, 59519 Möhnesee</x:t>
  </x:si>
  <x:si>
    <x:t xml:space="preserve">Landtag NRW, Vorlage 18/3663 (report of the Ministry MKJFGFI, 14.03.2025), reference date 31.01.2025 || Address: Address from the reviewed file; NOT independently confirmed in the audit. Ministry MKJFGFI NRW, contact list of counselling services at state facilities, Q4 2023 (services located at the ZUE) places the ZUE in the Echtrop district of Möhnesee.</x:t>
  </x:si>
  <x:si>
    <x:t xml:space="preserve">Nominatim/OpenStreetMap; historical address snapshot=2025-02-23; query=Auf der Alm 3, 59519 Möhnesee, Germany; match=building/yes; OSM place=Möhnesee; postcode=59519</x:t>
  </x:si>
  <x:si>
    <x:t xml:space="preserve">DE-NW-Z03</x:t>
  </x:si>
  <x:si>
    <x:t xml:space="preserve">ZUE Olpe</x:t>
  </x:si>
  <x:si>
    <x:t xml:space="preserve">Olpe</x:t>
  </x:si>
  <x:si>
    <x:t xml:space="preserve">Am Finkenhagen 15, 57462 Olpe</x:t>
  </x:si>
  <x:si>
    <x:t xml:space="preserve">Landtag NRW, Vorlage 18/3663 (report of the Ministry MKJFGFI, 14.03.2025), reference date 31.01.2025 || Address: Address from the reviewed file; NOT independently confirmed in the audit.</x:t>
  </x:si>
  <x:si>
    <x:t xml:space="preserve">Nominatim/OpenStreetMap; historical address snapshot=2025-02-23; query=Am Finkenhagen 15, 57462 Olpe, Germany; match=building/yes; OSM place=Olpe; postcode=57462</x:t>
  </x:si>
  <x:si>
    <x:t xml:space="preserve">DE-NW-Z04</x:t>
  </x:si>
  <x:si>
    <x:t xml:space="preserve">ZUE Soest</x:t>
  </x:si>
  <x:si>
    <x:t xml:space="preserve">Soest</x:t>
  </x:si>
  <x:si>
    <x:t xml:space="preserve">Former Kanaal-van-Wessem-Kaserne, Soest</x:t>
  </x:si>
  <x:si>
    <x:t xml:space="preserve">Landtag NRW, Vorlage 18/3663 (report of the Ministry MKJFGFI, 14.03.2025), reference date 31.01.2025 || Address: Bezirksregierung Arnsberg press releases 2018/2021 (former Kanaal-van-Wessem-Kaserne).</x:t>
  </x:si>
  <x:si>
    <x:t xml:space="preserve">geocoded via Nominatim, query 'Kanaal-van-Wessem-Kaserne, Soest, Germany'; returned Hiddingser Weg 59494; match highway/bus_stop</x:t>
  </x:si>
  <x:si>
    <x:t xml:space="preserve">DE-NW-Z05</x:t>
  </x:si>
  <x:si>
    <x:t xml:space="preserve">ZUE Wickede (Ruhr)</x:t>
  </x:si>
  <x:si>
    <x:t xml:space="preserve">Wickede</x:t>
  </x:si>
  <x:si>
    <x:t xml:space="preserve">Mendener Straße 52, 58739 Wickede</x:t>
  </x:si>
  <x:si>
    <x:t xml:space="preserve">Nominatim/OpenStreetMap; historical address snapshot=2025-02-23; query=Mendener Straße 52, 58739 Wickede, Germany; match=building/yes; OSM place=Wickede (Ruhr); postcode=58739</x:t>
  </x:si>
  <x:si>
    <x:t xml:space="preserve">DE-NW-Z06</x:t>
  </x:si>
  <x:si>
    <x:t xml:space="preserve">ZUE Bad Driburg</x:t>
  </x:si>
  <x:si>
    <x:t xml:space="preserve">Bad Driburg</x:t>
  </x:si>
  <x:si>
    <x:t xml:space="preserve">Nordfeldmark 4, 33014 Bad Driburg</x:t>
  </x:si>
  <x:si>
    <x:t xml:space="preserve">Landtag NRW, Vorlage 18/3663 (report of the Ministry MKJFGFI, 14.03.2025), reference date 31.01.2025 || Address: TED contract notice 280318-2022 (social care services for 11 ZUE, lots list each address)</x:t>
  </x:si>
  <x:si>
    <x:t xml:space="preserve">Nominatim/OpenStreetMap; historical address snapshot=2025-02-23; query=Nordfeldmark 4, 33014 Bad Driburg, Germany; match=building/yes; OSM place=Bad Driburg; postcode=33014</x:t>
  </x:si>
  <x:si>
    <x:t xml:space="preserve">DE-NW-Z07</x:t>
  </x:si>
  <x:si>
    <x:t xml:space="preserve">ZUE Borgentreich</x:t>
  </x:si>
  <x:si>
    <x:t xml:space="preserve">Borgentreich</x:t>
  </x:si>
  <x:si>
    <x:t xml:space="preserve">Am Maihof 1, 34434 Borgentreich</x:t>
  </x:si>
  <x:si>
    <x:t xml:space="preserve">Landtag NRW, Vorlage 18/3663 (report of the Ministry MKJFGFI, 14.03.2025), reference date 31.01.2025 || Address: Diakonie Paderborn-Höxter / Kreis Höxter (counselling at the ZUE, Am Maihof 1).</x:t>
  </x:si>
  <x:si>
    <x:t xml:space="preserve">Nominatim/OpenStreetMap; historical address snapshot=2025-02-23; query=Am Maihof 1, 34434 Borgentreich, Germany; match=amenity/social_facility; OSM place=Borgentreich; postcode=34434</x:t>
  </x:si>
  <x:si>
    <x:t xml:space="preserve">DE-NW-Z08</x:t>
  </x:si>
  <x:si>
    <x:t xml:space="preserve">ZUE Herford</x:t>
  </x:si>
  <x:si>
    <x:t xml:space="preserve">Herford</x:t>
  </x:si>
  <x:si>
    <x:t xml:space="preserve">Saarstraße 2, 32049 Herford</x:t>
  </x:si>
  <x:si>
    <x:t xml:space="preserve">Landtag NRW, Vorlage 18/3663 (report of the Ministry MKJFGFI, 14.03.2025), reference date 31.01.2025 || Address: Bezirksregierung Detmold press release 09/2024 ('landeseigene Unterkunft an der Saarstraße 2').</x:t>
  </x:si>
  <x:si>
    <x:t xml:space="preserve">Nominatim/OpenStreetMap; historical address snapshot=2025-02-23; query=Saarstraße 2, 32049 Herford, Germany; match=building/apartments; OSM place=Herford-Stadt; postcode=32049</x:t>
  </x:si>
  <x:si>
    <x:t xml:space="preserve">DE-NW-Z09</x:t>
  </x:si>
  <x:si>
    <x:t xml:space="preserve">ZUE Mülheim an der Ruhr</x:t>
  </x:si>
  <x:si>
    <x:t xml:space="preserve">Mülheim an der Ruhr</x:t>
  </x:si>
  <x:si>
    <x:t xml:space="preserve">Parsevalstraße, Mülheim an der Ruhr (Raadt), former office building</x:t>
  </x:si>
  <x:si>
    <x:t xml:space="preserve">Landtag NRW, Vorlage 18/3663 (report of the Ministry MKJFGFI, 14.03.2025), reference date 31.01.2025 || Address: Stadt Mülheim / Bezirksregierung Düsseldorf 2023 (Parsevalstraße, Raadt).</x:t>
  </x:si>
  <x:si>
    <x:t xml:space="preserve">geocoded via Nominatim, query 'Parsevalstraße,  Mülheim an der Ruhr'; returned Parsevalstraße 45470; match highway/residential</x:t>
  </x:si>
  <x:si>
    <x:t xml:space="preserve">DE-NW-Z10</x:t>
  </x:si>
  <x:si>
    <x:t xml:space="preserve">ZUE Neuss</x:t>
  </x:si>
  <x:si>
    <x:t xml:space="preserve">Neuss</x:t>
  </x:si>
  <x:si>
    <x:t xml:space="preserve">Obertorweg 1, 41460 Neuss</x:t>
  </x:si>
  <x:si>
    <x:t xml:space="preserve">Landtag NRW, Vorlage 18/3663 (report of the Ministry MKJFGFI, 14.03.2025), reference date 31.01.2025 || Address: DRK Neuss ('ZUE Neuss Obertorweg 1, 41460 Neuss'); Stadt Neuss.</x:t>
  </x:si>
  <x:si>
    <x:t xml:space="preserve">Nominatim/OpenStreetMap; historical address snapshot=2025-02-23; query=Obertorweg 1, 41460 Neuss, Germany; match=place/house; OSM place=Neuss; postcode=41460</x:t>
  </x:si>
  <x:si>
    <x:t xml:space="preserve">DE-NW-Z11</x:t>
  </x:si>
  <x:si>
    <x:t xml:space="preserve">ZUE Ratingen</x:t>
  </x:si>
  <x:si>
    <x:t xml:space="preserve">Ratingen</x:t>
  </x:si>
  <x:si>
    <x:t xml:space="preserve">Daniel-Goldbach-Straße 25, 40880 Ratingen</x:t>
  </x:si>
  <x:si>
    <x:t xml:space="preserve">Landtag NRW, Vorlage 18/3663 (report of the Ministry MKJFGFI, 14.03.2025), reference date 31.01.2025 || Address: TED contract notice 280318-2022 (social care services for 11 ZUE, lots list each address); Ministry MKJFGFI NRW, contact list of counselling services at state facilities, Q4 2023 (services located at the ZUE)</x:t>
  </x:si>
  <x:si>
    <x:t xml:space="preserve">Nominatim/OpenStreetMap; historical address snapshot=2025-02-23; query=Daniel-Goldbach-Straße 25, 40880 Ratingen, Germany; match=building/yes; OSM place=Ratingen; postcode=40880</x:t>
  </x:si>
  <x:si>
    <x:t xml:space="preserve">DE-NW-Z12</x:t>
  </x:si>
  <x:si>
    <x:t xml:space="preserve">ZUE Rees (ZUE Rees I)</x:t>
  </x:si>
  <x:si>
    <x:t xml:space="preserve">Rees</x:t>
  </x:si>
  <x:si>
    <x:t xml:space="preserve">Groiner Kirchweg 4, 46459 Rees</x:t>
  </x:si>
  <x:si>
    <x:t xml:space="preserve">Landtag NRW, Vorlage 18/3663 (report of the Ministry MKJFGFI, 14.03.2025), reference date 31.01.2025 || Address: Diakonie Dinslaken, psychosocial counselling at ZUE Rees I.</x:t>
  </x:si>
  <x:si>
    <x:t xml:space="preserve">Nominatim/OpenStreetMap; historical address snapshot=2025-02-23; query=Groiner Kirchweg 4, 46459 Rees, Germany; match=building/yes; OSM place=Rees; postcode=46459</x:t>
  </x:si>
  <x:si>
    <x:t xml:space="preserve">DE-NW-Z13</x:t>
  </x:si>
  <x:si>
    <x:t xml:space="preserve">ZUE Rees (ZUE Rees II)</x:t>
  </x:si>
  <x:si>
    <x:t xml:space="preserve">Depotstraße 20, 46459 Rees</x:t>
  </x:si>
  <x:si>
    <x:t xml:space="preserve">Landtag NRW, Vorlage 18/3663 (report of the Ministry MKJFGFI, 14.03.2025), reference date 31.01.2025 || Address: Diakonie Dinslaken, psychosocial counselling at ZUE Rees II. Sources from 2016/2017 give the same site as Depotstraße 41.</x:t>
  </x:si>
  <x:si>
    <x:t xml:space="preserve">Nominatim/OpenStreetMap; historical address snapshot=2025-02-23; query=Depotstraße 20, 46459 Rees, Germany; match=building/yes; OSM place=Rees; postcode=46459</x:t>
  </x:si>
  <x:si>
    <x:t xml:space="preserve">DE-NW-Z14</x:t>
  </x:si>
  <x:si>
    <x:t xml:space="preserve">ZUE Rheinberg</x:t>
  </x:si>
  <x:si>
    <x:t xml:space="preserve">Rheinberg</x:t>
  </x:si>
  <x:si>
    <x:t xml:space="preserve">Rheinberger Straße 375, Rheinberg (Orsoy), former Marienhospital</x:t>
  </x:si>
  <x:si>
    <x:t xml:space="preserve">Landtag NRW, Vorlage 18/3663 (report of the Ministry MKJFGFI, 14.03.2025), reference date 31.01.2025 || Address: Stadt Rheinberg; Ministry MKJFGFI NRW, contact list of counselling services at state facilities, Q4 2023 (services located at the ZUE) (ZUE Orsoy, Rheinberger Straße 375).</x:t>
  </x:si>
  <x:si>
    <x:t xml:space="preserve">geocoded via Nominatim, query 'Rheinberger Straße 375, 47495 Rheinberg'; returned Rheinberger Straße 47495; match office/government</x:t>
  </x:si>
  <x:si>
    <x:t xml:space="preserve">DE-NW-Z15</x:t>
  </x:si>
  <x:si>
    <x:t xml:space="preserve">ZUE Viersen</x:t>
  </x:si>
  <x:si>
    <x:t xml:space="preserve">Viersen</x:t>
  </x:si>
  <x:si>
    <x:t xml:space="preserve">Lichtenberg 44, 41747 Viersen</x:t>
  </x:si>
  <x:si>
    <x:t xml:space="preserve">Nominatim/OpenStreetMap; historical address snapshot=2025-02-23; query=Lichtenberg 44, 41747 Viersen, Germany; match=place/house; OSM place=Viersen; postcode=41747</x:t>
  </x:si>
  <x:si>
    <x:t xml:space="preserve">DE-NW-Z16</x:t>
  </x:si>
  <x:si>
    <x:t xml:space="preserve">ZUE Weeze (ZUE Weeze I)</x:t>
  </x:si>
  <x:si>
    <x:t xml:space="preserve">Weeze</x:t>
  </x:si>
  <x:si>
    <x:t xml:space="preserve">Euregio-Park 22, 47652 Weeze</x:t>
  </x:si>
  <x:si>
    <x:t xml:space="preserve">Nominatim/OpenStreetMap; historical address snapshot=2025-02-23; query=Euregio-Park 22, 47652 Weeze, Germany; match=building/residential; OSM place=Wemb; postcode=47652</x:t>
  </x:si>
  <x:si>
    <x:t xml:space="preserve">DE-NW-Z17</x:t>
  </x:si>
  <x:si>
    <x:t xml:space="preserve">ZUE Weeze (ZUE Weeze II)</x:t>
  </x:si>
  <x:si>
    <x:t xml:space="preserve">Europaring, 47652 Weeze</x:t>
  </x:si>
  <x:si>
    <x:t xml:space="preserve">Landtag NRW, Vorlage 18/3663 (report of the Ministry MKJFGFI, 14.03.2025), reference date 31.01.2025 || Address: Address from the reviewed file (street only).</x:t>
  </x:si>
  <x:si>
    <x:t xml:space="preserve">Manual review: historical address snapshot=2025-02-23 confirms Europaring, 47652 Weeze, but no exact house number. Current Nominatim result is a bus_stop and must not be treated as the ZUE centre point. Keep Coord_Precision=street.</x:t>
  </x:si>
  <x:si>
    <x:t xml:space="preserve">DE-NW-Z18</x:t>
  </x:si>
  <x:si>
    <x:t xml:space="preserve">ZUE Wuppertal</x:t>
  </x:si>
  <x:si>
    <x:t xml:space="preserve">Wuppertal</x:t>
  </x:si>
  <x:si>
    <x:t xml:space="preserve">Im Saalscheid 8, 42369 Wuppertal</x:t>
  </x:si>
  <x:si>
    <x:t xml:space="preserve">Landtag NRW, Vorlage 18/3663 (report of the Ministry MKJFGFI, 14.03.2025), reference date 31.01.2025 || Address: Westdeutsche Zeitung (former rehabilitation clinic, Im Saalscheid 8, Ronsdorf).</x:t>
  </x:si>
  <x:si>
    <x:t xml:space="preserve">Nominatim/OpenStreetMap; historical address snapshot=2025-02-23; query=Im Saalscheid 8, 42369 Wuppertal, Germany; match=place/house; OSM place=Wuppertal; postcode=42369</x:t>
  </x:si>
  <x:si>
    <x:t xml:space="preserve">DE-NW-Z19</x:t>
  </x:si>
  <x:si>
    <x:t xml:space="preserve">ZUE Bonn</x:t>
  </x:si>
  <x:si>
    <x:t xml:space="preserve">Deutschherrenstraße 30, 53177 Bonn</x:t>
  </x:si>
  <x:si>
    <x:t xml:space="preserve">Landtag NRW, Vorlage 18/3663 (report of the Ministry MKJFGFI, 14.03.2025), reference date 31.01.2025 || Address: Bezirksregierung Köln, framework tender 04/2025 (lists each site address) - 'Deutschherrenstraße 30, 53177 Bonn'</x:t>
  </x:si>
  <x:si>
    <x:t xml:space="preserve">geocoded via Nominatim, query 'Deutschherrenstraße 30, 53177 Bonn'; returned Deutschherrenstraße 53177; match highway/tertiary</x:t>
  </x:si>
  <x:si>
    <x:t xml:space="preserve">DE-NW-Z20</x:t>
  </x:si>
  <x:si>
    <x:t xml:space="preserve">ZUE Düren</x:t>
  </x:si>
  <x:si>
    <x:t xml:space="preserve">Düren</x:t>
  </x:si>
  <x:si>
    <x:t xml:space="preserve">Im Eichenbruch 43, 52355 Düren</x:t>
  </x:si>
  <x:si>
    <x:t xml:space="preserve">Landtag NRW, Vorlage 18/3663 (report of the Ministry MKJFGFI, 14.03.2025), reference date 31.01.2025 || Address: TED contract notice 393862-2023 (ZUE Düren, former Gürzenich-Kaserne).</x:t>
  </x:si>
  <x:si>
    <x:t xml:space="preserve">Manual review: Im Eichenbruch 43, 52355 Düren is confirmed for the ZUE. Nominatim returned only the street, not a building centroid; keep Coord_Precision=street.</x:t>
  </x:si>
  <x:si>
    <x:t xml:space="preserve">DE-NW-Z21</x:t>
  </x:si>
  <x:si>
    <x:t xml:space="preserve">ZUE Euskirchen</x:t>
  </x:si>
  <x:si>
    <x:t xml:space="preserve">Euskirchen</x:t>
  </x:si>
  <x:si>
    <x:t xml:space="preserve">Thomas-Eßer-Straße 33, 53879 Euskirchen</x:t>
  </x:si>
  <x:si>
    <x:t xml:space="preserve">Landtag NRW, Vorlage 18/3663 (report of the Ministry MKJFGFI, 14.03.2025), reference date 31.01.2025 || Address: Bezirksregierung Köln, framework tender 04/2025 (lists each site address)</x:t>
  </x:si>
  <x:si>
    <x:t xml:space="preserve">Nominatim/OpenStreetMap; historical address snapshot=2025-02-23; query=Thomas-Eßer-Straße 33, 53879 Euskirchen, Germany; match=building/yes; OSM place=Euskirchen; postcode=53879</x:t>
  </x:si>
  <x:si>
    <x:t xml:space="preserve">DE-NW-Z22</x:t>
  </x:si>
  <x:si>
    <x:t xml:space="preserve">ZUE Leverkusen</x:t>
  </x:si>
  <x:si>
    <x:t xml:space="preserve">Leverkusen</x:t>
  </x:si>
  <x:si>
    <x:t xml:space="preserve">Dhünnberg 40, 51375 Leverkusen</x:t>
  </x:si>
  <x:si>
    <x:t xml:space="preserve">Landtag NRW, Vorlage 18/3663 (report of the Ministry MKJFGFI, 14.03.2025), reference date 31.01.2025 || Address: Flüchtlingsrat Leverkusen; Bezirksregierung Köln, framework tender 04/2025 (lists each site address)</x:t>
  </x:si>
  <x:si>
    <x:t xml:space="preserve">Nominatim/OpenStreetMap; historical address snapshot=2025-02-23; query=Dhünnberg 40, 51375 Leverkusen, Germany; match=place/house; OSM place=Leverkusen; postcode=51375</x:t>
  </x:si>
  <x:si>
    <x:t xml:space="preserve">DE-NW-Z23</x:t>
  </x:si>
  <x:si>
    <x:t xml:space="preserve">ZUE Sankt Augustin</x:t>
  </x:si>
  <x:si>
    <x:t xml:space="preserve">Sankt Augustin</x:t>
  </x:si>
  <x:si>
    <x:t xml:space="preserve">Alte Heerstraße 90, 53757 Sankt Augustin (former Bundeswehr media centre)</x:t>
  </x:si>
  <x:si>
    <x:t xml:space="preserve">Landtag NRW, Vorlage 18/3663 (report of the Ministry MKJFGFI, 14.03.2025), reference date 31.01.2025 || Address: TED contract notice 280318-2022 (social care services for 11 ZUE, lots list each address) - 'Alte Heerstraße 90, 53757 Sankt Augustin'</x:t>
  </x:si>
  <x:si>
    <x:t xml:space="preserve">geocoded via Nominatim, query 'Alte Heerstraße 90, 53757 Sankt Augustin'; returned Alte Heerstraße 53757; match building/residential</x:t>
  </x:si>
  <x:si>
    <x:t xml:space="preserve">DE-NW-Z24</x:t>
  </x:si>
  <x:si>
    <x:t xml:space="preserve">ZUE Schleiden</x:t>
  </x:si>
  <x:si>
    <x:t xml:space="preserve">Schleiden</x:t>
  </x:si>
  <x:si>
    <x:t xml:space="preserve">Am Vogelsang 20, 53937 Schleiden</x:t>
  </x:si>
  <x:si>
    <x:t xml:space="preserve">Landtag NRW, Vorlage 18/3663 (report of the Ministry MKJFGFI, 14.03.2025), reference date 31.01.2025 || Address: Ministry MKJFGFI NRW, contact list of counselling services at state facilities, Q4 2023 (services located at the ZUE) - 'Am Vogelsang 20, 53937 Schleiden'</x:t>
  </x:si>
  <x:si>
    <x:t xml:space="preserve">geocoded via Nominatim, query 'Vogelsang 20, 53937 Schleiden'; returned Vogelsang 53937; match highway/pedestrian</x:t>
  </x:si>
  <x:si>
    <x:t xml:space="preserve">DE-NW-Z25</x:t>
  </x:si>
  <x:si>
    <x:t xml:space="preserve">ZUE Wegberg</x:t>
  </x:si>
  <x:si>
    <x:t xml:space="preserve">Wegberg</x:t>
  </x:si>
  <x:si>
    <x:t xml:space="preserve">Harrier Way 2, 41844 Wegberg (district Petersholz)</x:t>
  </x:si>
  <x:si>
    <x:t xml:space="preserve">Landtag NRW, Vorlage 18/3663 (report of the Ministry MKJFGFI, 14.03.2025), reference date 31.01.2025 || Address: TED contract notice 280318-2022 (social care services for 11 ZUE, lots list each address) - 'Harrier Way 2, 41844 Wegberg'</x:t>
  </x:si>
  <x:si>
    <x:t xml:space="preserve">geocoded via Nominatim, query 'Harrier Way 2, 41844 Wegberg'; returned Harrier Way 41844; match highway/residential</x:t>
  </x:si>
  <x:si>
    <x:t xml:space="preserve">DE-NW-Z26</x:t>
  </x:si>
  <x:si>
    <x:t xml:space="preserve">ZUE Dorsten</x:t>
  </x:si>
  <x:si>
    <x:t xml:space="preserve">Bezirksregierung Münster</x:t>
  </x:si>
  <x:si>
    <x:t xml:space="preserve">Dorsten</x:t>
  </x:si>
  <x:si>
    <x:t xml:space="preserve">Bochumer Straße 55, 46282 Dorsten</x:t>
  </x:si>
  <x:si>
    <x:t xml:space="preserve">Manual review: Bochumer Straße 55, 46282 Dorsten is confirmed for the ZUE. Nominatim returned only the road, not a building centroid; keep Coord_Precision=street.</x:t>
  </x:si>
  <x:si>
    <x:t xml:space="preserve">DE-NW-Z27</x:t>
  </x:si>
  <x:si>
    <x:t xml:space="preserve">ZUE Ibbenbüren</x:t>
  </x:si>
  <x:si>
    <x:t xml:space="preserve">Ibbenbüren</x:t>
  </x:si>
  <x:si>
    <x:t xml:space="preserve">Schwarzer Weg 10, 49479 Ibbenbüren</x:t>
  </x:si>
  <x:si>
    <x:t xml:space="preserve">Nominatim/OpenStreetMap; historical address snapshot=2025-02-23; query=Schwarzer Weg 10, 49479 Ibbenbüren, Germany; match=building/yes; OSM place=Ibbenbüren; postcode=49479; manual postcode check passed</x:t>
  </x:si>
  <x:si>
    <x:t xml:space="preserve">DE-NW-Z28</x:t>
  </x:si>
  <x:si>
    <x:t xml:space="preserve">ZUE Marl</x:t>
  </x:si>
  <x:si>
    <x:t xml:space="preserve">Marl</x:t>
  </x:si>
  <x:si>
    <x:t xml:space="preserve">Lehmbecker Pfad 31, 45770 Marl</x:t>
  </x:si>
  <x:si>
    <x:t xml:space="preserve">Nominatim/OpenStreetMap; historical address snapshot=2025-02-23; query=Lehmbecker Pfad 31, 45770 Marl, Germany; match=place/house; OSM place=Marl; postcode=45770</x:t>
  </x:si>
  <x:si>
    <x:t xml:space="preserve">DE-NW-Z29</x:t>
  </x:si>
  <x:si>
    <x:t xml:space="preserve">ZUE Münster</x:t>
  </x:si>
  <x:si>
    <x:t xml:space="preserve">Münster</x:t>
  </x:si>
  <x:si>
    <x:t xml:space="preserve">Albersloher Weg 450, 48167 Münster (former York-Kaserne, Gremmendorf)</x:t>
  </x:si>
  <x:si>
    <x:t xml:space="preserve">Landtag NRW, Vorlage 18/3663 (report of the Ministry MKJFGFI, 14.03.2025), reference date 31.01.2025 || Address: Ministry MKJFGFI NRW, contact list of counselling services at state facilities, Q4 2023 (services located at the ZUE) - 'Albersloher Weg 450, 48167 Münster'; also TED contract notice 280318-2022 (social care services for 11 ZUE, lots list each address) (misspelt there as 'Aberloher Weg, 48157').</x:t>
  </x:si>
  <x:si>
    <x:t xml:space="preserve">geocoded via Nominatim, query 'Albersloher Weg 450, 48167 Münster'; returned Albersloher Weg 48167; match building/yes</x:t>
  </x:si>
  <x:si>
    <x:t xml:space="preserve">Removal_group</x:t>
  </x:si>
  <x:si>
    <x:t xml:space="preserve">Removal_reason</x:t>
  </x:si>
  <x:si>
    <x:t xml:space="preserve">DE-BE-02</x:t>
  </x:si>
  <x:si>
    <x:t xml:space="preserve">Ankunftszentrum Berlin</x:t>
  </x:si>
  <x:si>
    <x:t xml:space="preserve">LAF Berlin</x:t>
  </x:si>
  <x:si>
    <x:t xml:space="preserve">11000000</x:t>
  </x:si>
  <x:si>
    <x:t xml:space="preserve">Oranienburger Strasse 285, 13437 Berlin (Reinickendorf)</x:t>
  </x:si>
  <x:si>
    <x:t xml:space="preserve">berlin.de/laf (official LAF page) || Official LAF page confirms address Oranienburger Straße 285: https://www.berlin.de/laf/ankommen/artikel.1253532.php</x:t>
  </x:si>
  <x:si>
    <x:t xml:space="preserve">building-level geocode via Nominatim/OpenStreetMap (match office/government), moved 2.12 km from the previous point</x:t>
  </x:si>
  <x:si>
    <x:t xml:space="preserve">2a — short-stay arrival centre</x:t>
  </x:si>
  <x:si>
    <x:t xml:space="preserve">Arrival and registration centre (Ankunftszentrum). Residents stay only until registration is complete. Removed for consistency with the other short-stay arrival points that were already excluded (Hamburg ZEA Rahlstedt, Munich arrival centre, Augsburg administrative centre, LEA Bochum). Berlin remains a host municipality through the 18 Aufnahmeeinrichtungen (AE).</x:t>
  </x:si>
  <x:si>
    <x:t xml:space="preserve">DE-HB-01</x:t>
  </x:si>
  <x:si>
    <x:t xml:space="preserve">EAE Bremerhaven 'Erle' (unaccompanied minors)</x:t>
  </x:si>
  <x:si>
    <x:t xml:space="preserve">Initial reception facility for unaccompanied minors (special profile)</x:t>
  </x:si>
  <x:si>
    <x:t xml:space="preserve">Bremerhaven</x:t>
  </x:si>
  <x:si>
    <x:t xml:space="preserve">04012000</x:t>
  </x:si>
  <x:si>
    <x:t xml:space="preserve">Fritz-Erler-Straße, Leherheide, Bremerhaven (house number unconfirmed)</x:t>
  </x:si>
  <x:si>
    <x:t xml:space="preserve">senatspressestelle.bremen.de/pressemitteilungen/ein-jahr-erstaufnahme-fuer-unbegleitete-minderjaehrige-in-bremerhaven-444527 (official press release; personally verified by the dataset owner)</x:t>
  </x:si>
  <x:si>
    <x:t xml:space="preserve">street-level geocode via Nominatim/OpenStreetMap (match highway/unclassified), moved 0.13 km from the previous point</x:t>
  </x:si>
  <x:si>
    <x:t xml:space="preserve">2b — unaccompanied minors</x:t>
  </x:si>
  <x:si>
    <x:t xml:space="preserve">Initial reception for unaccompanied foreign minors under youth-welfare law (Jugendhilfe), not initial reception under the Asylum Act. Facilities of this kind exist at every youth-welfare office in Germany and are not included for any other state, so keeping the Bremen ones would be inconsistent. NOTE: this was the only facility in Bremerhaven, which is therefore no longer a host municipality.</x:t>
  </x:si>
  <x:si>
    <x:t xml:space="preserve">DE-HB-04</x:t>
  </x:si>
  <x:si>
    <x:t xml:space="preserve">EAEH site Steinsetzerstraße (unaccompanied minors)</x:t>
  </x:si>
  <x:si>
    <x:t xml:space="preserve">04011000</x:t>
  </x:si>
  <x:si>
    <x:t xml:space="preserve">Steinsetzerstraße 12–18, 28279 Bremen</x:t>
  </x:si>
  <x:si>
    <x:t xml:space="preserve">innere-mission-bremen.de (operator page)</x:t>
  </x:si>
  <x:si>
    <x:t xml:space="preserve">Initial reception for unaccompanied foreign minors under youth-welfare law (Jugendhilfe), not initial reception under the Asylum Act. Removed for consistency with all other states. The City of Bremen remains a host municipality.</x:t>
  </x:si>
  <x:si>
    <x:t xml:space="preserve">DE-RP-02</x:t>
  </x:si>
  <x:si>
    <x:t xml:space="preserve">AfA Bitburg</x:t>
  </x:si>
  <x:si>
    <x:t xml:space="preserve">Bitburg</x:t>
  </x:si>
  <x:si>
    <x:t xml:space="preserve">07232018</x:t>
  </x:si>
  <x:si>
    <x:t xml:space="preserve">Messerschmittstraße 5-7 (Stammgebäude) u.a., 54634 Bitburg (Flugplatz)</x:t>
  </x:si>
  <x:si>
    <x:t xml:space="preserve">add.rlp.de/.../standorte/afa-bitburg</x:t>
  </x:si>
  <x:si>
    <x:t xml:space="preserve">1 — operation on 23.02.2025 not confirmed</x:t>
  </x:si>
  <x:si>
    <x:t xml:space="preserve">A dpa report from mid-2024 lists only Trier, Speyer, Kusel and Hermeskeil as open reception facilities and describes the facility in Bitburg as 'currently closed', with a hotel in Bitburg serving as a branch. The only source for operation was the current (post-election) site page of ADD Rheinland-Pfalz.</x:t>
  </x:si>
  <x:si>
    <x:t xml:space="preserve">DE-BY-19</x:t>
  </x:si>
  <x:si>
    <x:t xml:space="preserve">AnKER Mittelfranken — Roth</x:t>
  </x:si>
  <x:si>
    <x:t xml:space="preserve">Roth</x:t>
  </x:si>
  <x:si>
    <x:t xml:space="preserve">09576143</x:t>
  </x:si>
  <x:si>
    <x:t xml:space="preserve">Bavarian state parliament doc. 18/1695 (2019, historical capacity)</x:t>
  </x:si>
  <x:si>
    <x:t xml:space="preserve">The only source is Bavarian state parliament doc. 18/1695 from 2019. Roth does not appear in the current official composition of ANKER Mittelfranken, which names dependencies only in Nürnberg, Erlangen and Zirndorf.</x:t>
  </x:si>
  <x:si>
    <x:t xml:space="preserve">DE-BY-18</x:t>
  </x:si>
  <x:si>
    <x:t xml:space="preserve">AnKER Mittelfranken — Neuendettelsau</x:t>
  </x:si>
  <x:si>
    <x:t xml:space="preserve">Neuendettelsau</x:t>
  </x:si>
  <x:si>
    <x:t xml:space="preserve">09571180</x:t>
  </x:si>
  <x:si>
    <x:t xml:space="preserve">The only source is Bavarian state parliament doc. 18/1695 from 2019. Neuendettelsau does not appear in the current official composition of ANKER Mittelfranken, which names dependencies only in Nürnberg, Erlangen and Zirndorf.</x:t>
  </x:si>
  <x:si>
    <x:t xml:space="preserve">DE-BB-01</x:t>
  </x:si>
  <x:si>
    <x:t xml:space="preserve">ZABH Außenstelle Doberlug-Kirchhain</x:t>
  </x:si>
  <x:si>
    <x:t xml:space="preserve">Doberlug-Kirchhain</x:t>
  </x:si>
  <x:si>
    <x:t xml:space="preserve">12062092</x:t>
  </x:si>
  <x:si>
    <x:t xml:space="preserve">Former Lausitz-Kaserne, Doberlug-Kirchhain (house number unconfirmed)</x:t>
  </x:si>
  <x:si>
    <x:t xml:space="preserve">drk-elbe-elster.de (operator page); unser-stadtplan.de (site description)</x:t>
  </x:si>
  <x:si>
    <x:t xml:space="preserve">Brandenburg's interior minister stated in June 2022 that the contract for the Doberlug-Kirchhain site would end in November 2024 at the latest, even with all extension options used (Berliner Zeitung, 09.06.2022). The 2024 tender for medical care in the Brandenburg reception facility (TED 374104-2024) lists only Eisenhüttenstadt, Wünsdorf and Frankfurt (Oder). No evidence of operation after November 2024 was found.</x:t>
  </x:si>
  <x:si>
    <x:t xml:space="preserve">N_Facilities</x:t>
  </x:si>
  <x:si>
    <x:t xml:space="preserve">Capacity_sum </x:t>
  </x:si>
  <x:si>
    <x:t xml:space="preserve">N_capacity_missing</x:t>
  </x:si>
  <x:si>
    <x:t xml:space="preserve">TOTAL</x:t>
  </x:si>
  <x:si>
    <x:t xml:space="preserve">State</x:t>
  </x:si>
  <x:si>
    <x:t xml:space="preserve">Facility / street</x:t>
  </x:si>
  <x:si>
    <x:t xml:space="preserve">District / Bezirksregierung</x:t>
  </x:si>
  <x:si>
    <x:t xml:space="preserve">Occupancy</x:t>
  </x:si>
  <x:si>
    <x:t xml:space="preserve">Opened</x:t>
  </x:si>
  <x:si>
    <x:t xml:space="preserve">Planned_end</x:t>
  </x:si>
  <x:si>
    <x:t xml:space="preserve">Source</x:t>
  </x:si>
  <x:si>
    <x:t xml:space="preserve">Note</x:t>
  </x:si>
  <x:si>
    <x:t xml:space="preserve">Tegel (ANo TXL) - Ehem. Flughafen Tegel, Terminal C + Leichtbauhallen, 13405 Berlin (Reinickendorf)</x:t>
  </x:si>
  <x:si>
    <x:t xml:space="preserve">Reinickendorf</x:t>
  </x:si>
  <x:si>
    <x:t xml:space="preserve">01.01.2023</x:t>
  </x:si>
  <x:si>
    <x:t xml:space="preserve">31.12.2025</x:t>
  </x:si>
  <x:si>
    <x:t xml:space="preserve">drk-berlin.de/aktuelles/... (press release on the closure); nzz.ch (Juli 2024); tagesspiegel.de || Closure date confirmed verbatim: Berlin Abgeordnetenhaus Drucksache 19/24682 (20.01.2026): https://pardok.parlament-berlin.de/starweb/adis/citat/VT/19/SchrAnfr/S19-24682.pdf ; operation confirmed 20.01.2025 (1mo pre-election): Drucksache 19/21211: https://pardok.parlament-berlin.de/starweb/adis/citat/VT/19/SchrAnfr/S19-21211.pdf ; '~6500 places/~5000 residents' confirmed verbatim, dated 03.08.2024: https://www.berliner-zeitung.de/article/senatorin-cansel-kiziltepe-will-fluechtlingsunterkunft-in-berlin-tegel-verkleinern-2241359 ; continued use to 2031, Senate press release 27.05.2025: https://www.berlin.de/rbmskzl/aktuelles/pressemitteilungen/2025/pressemitteilung.1564212.php ; address confirmed: https://service.berlin.de/standort/330887/ || Coordinates upgraded from site_approx to Terminal C building level, 09/2026 by Claude.</x:t>
  </x:si>
  <x:si>
    <x:t xml:space="preserve">Moved from the core set to the sensitivity set (09/2026). The Berlin Senate classifies the facilities at the former Tegel (TXL) and Tempelhof (THF) airports as emergency shelters, not regular accommodation (Abgeordnetenhaus Berlin, Drs. 19/24026). Emergency shelters are excluded from the core set by the codebook. Core-set coordinates kept: 52.5556171, 13.2958045.</x:t>
  </x:si>
  <x:si>
    <x:t xml:space="preserve">Knesebeckstraße</x:t>
  </x:si>
  <x:si>
    <x:t xml:space="preserve">Charlottenburg-Wilmersdorf</x:t>
  </x:si>
  <x:si>
    <x:t xml:space="preserve">16.10.2023</x:t>
  </x:si>
  <x:si>
    <x:t xml:space="preserve">30.06.2025</x:t>
  </x:si>
  <x:si>
    <x:t xml:space="preserve">Abgeordnetenhaus Berlin, Drs. 19/21327, Anlage 1 (answer of the Senate, 30.01.2025), reference date 02.01.2025</x:t>
  </x:si>
  <x:si>
    <x:t xml:space="preserve">Eislebener Straße</x:t>
  </x:si>
  <x:si>
    <x:t xml:space="preserve">20.10.2023</x:t>
  </x:si>
  <x:si>
    <x:t xml:space="preserve">Rudolstädter Straße</x:t>
  </x:si>
  <x:si>
    <x:t xml:space="preserve">27.10.2023</x:t>
  </x:si>
  <x:si>
    <x:t xml:space="preserve">31.03.2025</x:t>
  </x:si>
  <x:si>
    <x:t xml:space="preserve">Sömmeringstraße</x:t>
  </x:si>
  <x:si>
    <x:t xml:space="preserve">01.11.2023</x:t>
  </x:si>
  <x:si>
    <x:t xml:space="preserve">28.06.2025</x:t>
  </x:si>
  <x:si>
    <x:t xml:space="preserve">Glockenturmstraße</x:t>
  </x:si>
  <x:si>
    <x:t xml:space="preserve">15.11.2023</x:t>
  </x:si>
  <x:si>
    <x:t xml:space="preserve">30.06.2026</x:t>
  </x:si>
  <x:si>
    <x:t xml:space="preserve">Luckenwalder Straße</x:t>
  </x:si>
  <x:si>
    <x:t xml:space="preserve">Friedrichshain-Kreuzberg</x:t>
  </x:si>
  <x:si>
    <x:t xml:space="preserve">Am Rudolfplatz</x:t>
  </x:si>
  <x:si>
    <x:t xml:space="preserve">15.04.2024</x:t>
  </x:si>
  <x:si>
    <x:t xml:space="preserve">14.04.2027</x:t>
  </x:si>
  <x:si>
    <x:t xml:space="preserve">Landsberger Allee</x:t>
  </x:si>
  <x:si>
    <x:t xml:space="preserve">Lichtenberg</x:t>
  </x:si>
  <x:si>
    <x:t xml:space="preserve">01.11.2024</x:t>
  </x:si>
  <x:si>
    <x:t xml:space="preserve">Buschkrugallee 60-62</x:t>
  </x:si>
  <x:si>
    <x:t xml:space="preserve">Neukölln</x:t>
  </x:si>
  <x:si>
    <x:t xml:space="preserve">05.01.2023</x:t>
  </x:si>
  <x:si>
    <x:t xml:space="preserve">Buschkrugallee</x:t>
  </x:si>
  <x:si>
    <x:t xml:space="preserve">22.12.2022</x:t>
  </x:si>
  <x:si>
    <x:t xml:space="preserve">Mariendorfer Weg 22</x:t>
  </x:si>
  <x:si>
    <x:t xml:space="preserve">01.07.2024</x:t>
  </x:si>
  <x:si>
    <x:t xml:space="preserve">Storkower Straße</x:t>
  </x:si>
  <x:si>
    <x:t xml:space="preserve">Pankow</x:t>
  </x:si>
  <x:si>
    <x:t xml:space="preserve">02.10.2023</x:t>
  </x:si>
  <x:si>
    <x:t xml:space="preserve">17.03.2025</x:t>
  </x:si>
  <x:si>
    <x:t xml:space="preserve">Friederikestraße</x:t>
  </x:si>
  <x:si>
    <x:t xml:space="preserve">15.02.2023</x:t>
  </x:si>
  <x:si>
    <x:t xml:space="preserve">Schönwalder Allee 26</x:t>
  </x:si>
  <x:si>
    <x:t xml:space="preserve">Spandau</x:t>
  </x:si>
  <x:si>
    <x:t xml:space="preserve">01.01.2024</x:t>
  </x:si>
  <x:si>
    <x:t xml:space="preserve">Bülowstraße</x:t>
  </x:si>
  <x:si>
    <x:t xml:space="preserve">Tempelhof-Schöneberg</x:t>
  </x:si>
  <x:si>
    <x:t xml:space="preserve">01.09.2024</x:t>
  </x:si>
  <x:si>
    <x:t xml:space="preserve">31.08.2025</x:t>
  </x:si>
  <x:si>
    <x:t xml:space="preserve">Columbiadamm — Tempelhof (THF)</x:t>
  </x:si>
  <x:si>
    <x:t xml:space="preserve">27.12.2023</x:t>
  </x:si>
  <x:si>
    <x:t xml:space="preserve">30.06.2028</x:t>
  </x:si>
  <x:si>
    <x:t xml:space="preserve">NOTE: Hohenzollerndamm (140) and Albrechtstraße (37) ended on 31.12.2024 — closed before the election, excluded.</x:t>
  </x:si>
  <x:si>
    <x:t xml:space="preserve">NU Bochum</x:t>
  </x:si>
  <x:si>
    <x:t xml:space="preserve">Landtag NRW, Vorlage 18/3663 (report of the Ministry MKJFGFI, 14.03.2025), reference date 31.01.2025</x:t>
  </x:si>
  <x:si>
    <x:t xml:space="preserve">NU Dortmund</x:t>
  </x:si>
  <x:si>
    <x:t xml:space="preserve">NU Finnentrop</x:t>
  </x:si>
  <x:si>
    <x:t xml:space="preserve">NU Hagen</x:t>
  </x:si>
  <x:si>
    <x:t xml:space="preserve">NU Hamm</x:t>
  </x:si>
  <x:si>
    <x:t xml:space="preserve">NU Selm</x:t>
  </x:si>
  <x:si>
    <x:t xml:space="preserve">NU Werl</x:t>
  </x:si>
  <x:si>
    <x:t xml:space="preserve">NU Büren</x:t>
  </x:si>
  <x:si>
    <x:t xml:space="preserve">NU Gütersloh I</x:t>
  </x:si>
  <x:si>
    <x:t xml:space="preserve">NU Gütersloh II</x:t>
  </x:si>
  <x:si>
    <x:t xml:space="preserve">NU Lage</x:t>
  </x:si>
  <x:si>
    <x:t xml:space="preserve">NU Paderborn (closed 28.02.2025 — active on election day)</x:t>
  </x:si>
  <x:si>
    <x:t xml:space="preserve">NU Düsseldorf</x:t>
  </x:si>
  <x:si>
    <x:t xml:space="preserve">NU Krefeld</x:t>
  </x:si>
  <x:si>
    <x:t xml:space="preserve">NU Ratingen</x:t>
  </x:si>
  <x:si>
    <x:t xml:space="preserve">NU Remscheid</x:t>
  </x:si>
  <x:si>
    <x:t xml:space="preserve">NU Wuppertal</x:t>
  </x:si>
  <x:si>
    <x:t xml:space="preserve">NU Marmagen (Nettersheim)</x:t>
  </x:si>
  <x:si>
    <x:t xml:space="preserve">NU Castrop-Rauxel</x:t>
  </x:si>
  <x:si>
    <x:t xml:space="preserve">NU Gladbeck</x:t>
  </x:si>
  <x:si>
    <x:t xml:space="preserve">NU Lüdinghausen</x:t>
  </x:si>
  <x:si>
    <x:t xml:space="preserve">NU Schöppingen</x:t>
  </x:si>
</x:sst>
</file>

<file path=xl/styles.xml><?xml version="1.0" encoding="utf-8"?>
<x:styleSheet xmlns:x="http://schemas.openxmlformats.org/spreadsheetml/2006/main">
  <x:numFmts count="2">
    <x:numFmt numFmtId="164" formatCode="General"/>
    <x:numFmt numFmtId="200" formatCode="@"/>
  </x:numFmts>
  <x:fonts count="13">
    <x:font>
      <x:sz val="11"/>
      <x:color theme="1"/>
      <x:name val="Calibri"/>
    </x:font>
    <x:font>
      <x:sz val="10"/>
      <x:name val="Arial"/>
    </x:font>
    <x:font>
      <x:sz val="10"/>
      <x:name val="Arial"/>
    </x:font>
    <x:font>
      <x:sz val="10"/>
      <x:name val="Arial"/>
    </x:font>
    <x:font>
      <x:b/>
      <x:sz val="10"/>
      <x:color theme="1"/>
      <x:name val="Arial"/>
    </x:font>
    <x:font>
      <x:b/>
      <x:sz val="10"/>
      <x:color rgb="FFFFFFFF"/>
      <x:name val="Arial"/>
    </x:font>
    <x:font>
      <x:sz val="11"/>
      <x:color theme="1"/>
      <x:name val="Calibri"/>
    </x:font>
    <x:font>
      <x:sz val="10"/>
      <x:name val="Arial"/>
    </x:font>
    <x:font>
      <x:sz val="10"/>
      <x:name val="Arial"/>
    </x:font>
    <x:font>
      <x:sz val="10"/>
      <x:color theme="1"/>
      <x:name val="Arial"/>
    </x:font>
    <x:font>
      <x:b/>
      <x:sz val="10"/>
      <x:name val="Arial"/>
    </x:font>
    <x:font>
      <x:b/>
      <x:sz val="11"/>
      <x:color rgb="FFFFFFFF"/>
      <x:name val="Calibri"/>
    </x:font>
    <x:font>
      <x:b/>
      <x:sz val="11"/>
      <x:color theme="1"/>
      <x:name val="Calibri"/>
    </x:font>
  </x:fonts>
  <x:fills count="11">
    <x:fill>
      <x:patternFill patternType="none"/>
    </x:fill>
    <x:fill>
      <x:patternFill patternType="gray125"/>
    </x:fill>
    <x:fill>
      <x:patternFill patternType="solid">
        <x:fgColor theme="0"/>
      </x:patternFill>
    </x:fill>
    <x:fill>
      <x:patternFill patternType="solid">
        <x:fgColor theme="9"/>
      </x:patternFill>
    </x:fill>
    <x:fill>
      <x:patternFill patternType="solid">
        <x:fgColor rgb="FF1F4E79"/>
      </x:patternFill>
    </x:fill>
    <x:fill>
      <x:patternFill patternType="solid">
        <x:fgColor rgb="FFFFFF00"/>
      </x:patternFill>
    </x:fill>
    <x:fill>
      <x:patternFill patternType="solid">
        <x:fgColor rgb="FFC6EFCE"/>
      </x:patternFill>
    </x:fill>
    <x:fill>
      <x:patternFill patternType="solid">
        <x:fgColor rgb="FFDDEBF7"/>
      </x:patternFill>
    </x:fill>
    <x:fill>
      <x:patternFill patternType="solid">
        <x:fgColor rgb="FF1F4E78"/>
      </x:patternFill>
    </x:fill>
    <x:fill>
      <x:patternFill patternType="solid">
        <x:fgColor rgb="FFD9EAF7"/>
      </x:patternFill>
    </x:fill>
    <x:fill>
      <x:patternFill patternType="solid">
        <x:fgColor rgb="FFD9EAF7"/>
      </x:patternFill>
    </x:fill>
  </x:fills>
  <x:borders count="2">
    <x:border diagonalUp="0" diagonalDown="0"/>
    <x:border diagonalUp="0" diagonalDown="0">
      <x:left style="thin">
        <x:color rgb="FFBFBFBF"/>
      </x:left>
      <x:right style="thin">
        <x:color rgb="FFBFBFBF"/>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61">
    <x:xf numFmtId="164" fontId="0" fillId="0" borderId="0" xfId="0" applyFont="0" applyBorder="0" applyAlignment="0">
      <x:alignment horizontal="general" vertical="bottom" wrapText="0"/>
    </x:xf>
    <x:xf numFmtId="164" fontId="0" fillId="0" borderId="0" xfId="0" applyFont="0" applyBorder="0" applyAlignment="1">
      <x:alignment horizontal="center" vertical="top" wrapText="1"/>
    </x:xf>
    <x:xf numFmtId="164" fontId="0" fillId="2" borderId="0" xfId="0" applyFont="0" applyBorder="0" applyAlignment="1">
      <x:alignment horizontal="center" vertical="top" wrapText="1"/>
    </x:xf>
    <x:xf numFmtId="164" fontId="4" fillId="3" borderId="0" xfId="0" applyFont="1" applyBorder="0" applyAlignment="1">
      <x:alignment horizontal="center" vertical="top" wrapText="1"/>
    </x:xf>
    <x:xf numFmtId="164" fontId="5" fillId="4" borderId="0" xfId="0" applyFont="1" applyBorder="0" applyAlignment="1">
      <x:alignment horizontal="general" vertical="bottom" wrapText="0"/>
    </x:xf>
    <x:xf numFmtId="164" fontId="6" fillId="3" borderId="0" xfId="0" applyFont="1" applyBorder="0" applyAlignment="1">
      <x:alignment horizontal="center" vertical="top" wrapText="1"/>
    </x:xf>
    <x:xf numFmtId="164" fontId="7" fillId="0" borderId="1" xfId="0" applyFont="1" applyBorder="1" applyAlignment="1">
      <x:alignment horizontal="center" vertical="top" wrapText="1"/>
    </x:xf>
    <x:xf numFmtId="164" fontId="7" fillId="2" borderId="1" xfId="0" applyFont="1" applyBorder="1" applyAlignment="1">
      <x:alignment horizontal="center" vertical="top" wrapText="1"/>
    </x:xf>
    <x:xf numFmtId="164" fontId="7" fillId="5" borderId="1" xfId="0" applyFont="1" applyBorder="1" applyAlignment="1">
      <x:alignment horizontal="center" vertical="top" wrapText="1"/>
    </x:xf>
    <x:xf numFmtId="164" fontId="7" fillId="2" borderId="0" xfId="0" applyFont="1" applyBorder="0" applyAlignment="1">
      <x:alignment horizontal="center" vertical="top" wrapText="1"/>
    </x:xf>
    <x:xf numFmtId="164" fontId="8" fillId="0" borderId="0" xfId="0" applyFont="1" applyBorder="0" applyAlignment="1">
      <x:alignment horizontal="general" vertical="bottom" wrapText="0"/>
    </x:xf>
    <x:xf numFmtId="164" fontId="8" fillId="6" borderId="1" xfId="0" applyFont="1" applyBorder="1" applyAlignment="1">
      <x:alignment horizontal="center" vertical="top" wrapText="1"/>
    </x:xf>
    <x:xf numFmtId="164" fontId="8" fillId="6" borderId="0" xfId="0" applyFont="1" applyBorder="0" applyAlignment="1">
      <x:alignment horizontal="center" vertical="top" wrapText="1"/>
    </x:xf>
    <x:xf numFmtId="164" fontId="8" fillId="6" borderId="0" xfId="0" applyFont="1" applyBorder="0" applyAlignment="1">
      <x:alignment horizontal="general" vertical="bottom" wrapText="0"/>
    </x:xf>
    <x:xf numFmtId="164" fontId="9" fillId="0" borderId="1" xfId="0" applyFont="1" applyBorder="1" applyAlignment="1">
      <x:alignment horizontal="center" vertical="top" wrapText="1"/>
    </x:xf>
    <x:xf numFmtId="164" fontId="0" fillId="0" borderId="0" xfId="0" applyFont="1" applyBorder="0" applyAlignment="1">
      <x:alignment horizontal="general" vertical="bottom" wrapText="0"/>
    </x:xf>
    <x:xf numFmtId="164" fontId="8" fillId="7" borderId="0" xfId="0" applyFont="1" applyBorder="0" applyAlignment="1">
      <x:alignment horizontal="general" vertical="bottom" wrapText="0"/>
    </x:xf>
    <x:xf numFmtId="164" fontId="8" fillId="0" borderId="0" xfId="0" applyFont="1" applyBorder="0" applyAlignment="1">
      <x:alignment horizontal="general" vertical="top" wrapText="0"/>
    </x:xf>
    <x:xf numFmtId="164" fontId="8" fillId="0" borderId="0" xfId="0" applyFont="1" applyBorder="0" applyAlignment="1">
      <x:alignment horizontal="general" vertical="top" wrapText="1"/>
    </x:xf>
    <x:xf numFmtId="164" fontId="4" fillId="3" borderId="0" xfId="0" applyFont="1" applyBorder="0" applyAlignment="1">
      <x:alignment horizontal="general" vertical="center" wrapText="1"/>
    </x:xf>
    <x:xf numFmtId="164" fontId="6" fillId="3" borderId="0" xfId="0" applyFont="1" applyBorder="0" applyAlignment="1">
      <x:alignment horizontal="general" vertical="bottom" wrapText="0"/>
    </x:xf>
    <x:xf numFmtId="164" fontId="7" fillId="0" borderId="1" xfId="0" applyFont="1" applyBorder="1" applyAlignment="1">
      <x:alignment horizontal="general" vertical="bottom" wrapText="0"/>
    </x:xf>
    <x:xf numFmtId="164" fontId="10" fillId="0" borderId="1" xfId="0" applyFont="1" applyBorder="1" applyAlignment="1">
      <x:alignment horizontal="general" vertical="bottom" wrapText="0"/>
    </x:xf>
    <x:xf numFmtId="164" fontId="5" fillId="4" borderId="0" xfId="0" applyFont="1" applyBorder="0" applyAlignment="1">
      <x:alignment horizontal="general" vertical="center" wrapText="0"/>
    </x:xf>
    <x:xf numFmtId="164" fontId="0" fillId="0" borderId="0" xfId="0" applyNumberFormat="1" applyFont="1" applyFill="1" applyBorder="1" applyAlignment="1">
      <x:alignment horizontal="general" vertical="bottom" wrapText="0"/>
    </x:xf>
    <x:xf numFmtId="164" fontId="0" fillId="0" borderId="0" xfId="0" applyNumberFormat="1" applyFont="1" applyFill="1" applyBorder="1" applyAlignment="1">
      <x:alignment horizontal="center" vertical="top" wrapText="1"/>
    </x:xf>
    <x:xf numFmtId="164" fontId="0" fillId="2" borderId="0" xfId="0" applyNumberFormat="1" applyFont="1" applyFill="1" applyBorder="1" applyAlignment="1">
      <x:alignment horizontal="center" vertical="top" wrapText="1"/>
    </x:xf>
    <x:xf numFmtId="164" fontId="4" fillId="3" borderId="0" xfId="0" applyNumberFormat="1" applyFont="1" applyFill="1" applyBorder="1" applyAlignment="1">
      <x:alignment horizontal="center" vertical="top" wrapText="1"/>
    </x:xf>
    <x:xf numFmtId="164" fontId="5" fillId="4" borderId="0" xfId="0" applyNumberFormat="1" applyFont="1" applyFill="1" applyBorder="1" applyAlignment="1">
      <x:alignment horizontal="general" vertical="bottom" wrapText="0"/>
    </x:xf>
    <x:xf numFmtId="164" fontId="0" fillId="3" borderId="0" xfId="0" applyNumberFormat="1" applyFont="1" applyFill="1" applyBorder="1" applyAlignment="1">
      <x:alignment horizontal="center" vertical="top" wrapText="1"/>
    </x:xf>
    <x:xf numFmtId="164" fontId="1" fillId="0" borderId="1" xfId="0" applyNumberFormat="1" applyFont="1" applyFill="1" applyBorder="1" applyAlignment="1">
      <x:alignment horizontal="center" vertical="top" wrapText="1"/>
    </x:xf>
    <x:xf numFmtId="164" fontId="1" fillId="2" borderId="1" xfId="0" applyNumberFormat="1" applyFont="1" applyFill="1" applyBorder="1" applyAlignment="1">
      <x:alignment horizontal="center" vertical="top" wrapText="1"/>
    </x:xf>
    <x:xf numFmtId="164" fontId="1" fillId="5" borderId="1" xfId="0" applyNumberFormat="1" applyFont="1" applyFill="1" applyBorder="1" applyAlignment="1">
      <x:alignment horizontal="center" vertical="top" wrapText="1"/>
    </x:xf>
    <x:xf numFmtId="164" fontId="1" fillId="2" borderId="0" xfId="0" applyNumberFormat="1" applyFont="1" applyFill="1" applyBorder="1" applyAlignment="1">
      <x:alignment horizontal="center" vertical="top" wrapText="1"/>
    </x:xf>
    <x:xf numFmtId="164" fontId="1" fillId="0" borderId="0" xfId="0" applyNumberFormat="1" applyFont="1" applyFill="1" applyBorder="1" applyAlignment="1">
      <x:alignment horizontal="general" vertical="bottom" wrapText="0"/>
    </x:xf>
    <x:xf numFmtId="164" fontId="1" fillId="6" borderId="1" xfId="0" applyNumberFormat="1" applyFont="1" applyFill="1" applyBorder="1" applyAlignment="1">
      <x:alignment horizontal="center" vertical="top" wrapText="1"/>
    </x:xf>
    <x:xf numFmtId="164" fontId="1" fillId="6" borderId="0" xfId="0" applyNumberFormat="1" applyFont="1" applyFill="1" applyBorder="1" applyAlignment="1">
      <x:alignment horizontal="center" vertical="top" wrapText="1"/>
    </x:xf>
    <x:xf numFmtId="164" fontId="1" fillId="6" borderId="0" xfId="0" applyNumberFormat="1" applyFont="1" applyFill="1" applyBorder="1" applyAlignment="1">
      <x:alignment horizontal="general" vertical="bottom" wrapText="0"/>
    </x:xf>
    <x:xf numFmtId="164" fontId="9" fillId="0" borderId="1" xfId="0" applyNumberFormat="1" applyFont="1" applyFill="1" applyBorder="1" applyAlignment="1">
      <x:alignment horizontal="center" vertical="top" wrapText="1"/>
    </x:xf>
    <x:xf numFmtId="164" fontId="1" fillId="7" borderId="0" xfId="0" applyNumberFormat="1" applyFont="1" applyFill="1" applyBorder="1" applyAlignment="1">
      <x:alignment horizontal="general" vertical="bottom" wrapText="0"/>
    </x:xf>
    <x:xf numFmtId="164" fontId="1" fillId="0" borderId="0" xfId="0" applyNumberFormat="1" applyFont="1" applyFill="1" applyBorder="1" applyAlignment="1">
      <x:alignment horizontal="general" vertical="top" wrapText="0"/>
    </x:xf>
    <x:xf numFmtId="164" fontId="1" fillId="0" borderId="0" xfId="0" applyNumberFormat="1" applyFont="1" applyFill="1" applyBorder="1" applyAlignment="1">
      <x:alignment horizontal="general" vertical="top" wrapText="1"/>
    </x:xf>
    <x:xf numFmtId="164" fontId="4" fillId="3" borderId="0" xfId="0" applyNumberFormat="1" applyFont="1" applyFill="1" applyBorder="1" applyAlignment="1">
      <x:alignment horizontal="general" vertical="center" wrapText="1"/>
    </x:xf>
    <x:xf numFmtId="164" fontId="0" fillId="3" borderId="0" xfId="0" applyNumberFormat="1" applyFont="1" applyFill="1" applyBorder="1" applyAlignment="1">
      <x:alignment horizontal="general" vertical="bottom" wrapText="0"/>
    </x:xf>
    <x:xf numFmtId="164" fontId="1" fillId="0" borderId="1" xfId="0" applyNumberFormat="1" applyFont="1" applyFill="1" applyBorder="1" applyAlignment="1">
      <x:alignment horizontal="general" vertical="bottom" wrapText="0"/>
    </x:xf>
    <x:xf numFmtId="164" fontId="10" fillId="0" borderId="1" xfId="0" applyNumberFormat="1" applyFont="1" applyFill="1" applyBorder="1" applyAlignment="1">
      <x:alignment horizontal="general" vertical="bottom" wrapText="0"/>
    </x:xf>
    <x:xf numFmtId="164" fontId="5" fillId="4" borderId="0" xfId="0" applyNumberFormat="1" applyFont="1" applyFill="1" applyBorder="1" applyAlignment="1">
      <x:alignment horizontal="general" vertical="center" wrapText="0"/>
    </x:xf>
    <x:xf numFmtId="200" fontId="1" fillId="2" borderId="1" xfId="0" applyNumberFormat="1" applyFont="1" applyFill="1" applyBorder="1" applyAlignment="1">
      <x:alignment horizontal="center" vertical="top" wrapText="1"/>
    </x:xf>
    <x:xf numFmtId="200" fontId="1" fillId="2" borderId="0" xfId="0" applyNumberFormat="1" applyFont="1" applyFill="1" applyBorder="1" applyAlignment="1">
      <x:alignment horizontal="center" vertical="top" wrapText="1"/>
    </x:xf>
    <x:xf numFmtId="200" fontId="0" fillId="0" borderId="0" xfId="0" applyNumberFormat="1" applyFont="1" applyFill="1" applyBorder="1" applyAlignment="1">
      <x:alignment horizontal="general" vertical="bottom" wrapText="0"/>
    </x:xf>
    <x:xf numFmtId="200" fontId="1" fillId="7" borderId="0" xfId="0" applyNumberFormat="1" applyFont="1" applyFill="1" applyBorder="1" applyAlignment="1">
      <x:alignment horizontal="general" vertical="bottom" wrapText="0"/>
    </x:xf>
    <x:xf numFmtId="164" fontId="0" fillId="8" borderId="0" xfId="0" applyNumberFormat="1" applyFont="1" applyFill="1" applyBorder="1" applyAlignment="1">
      <x:alignment horizontal="general" vertical="bottom" wrapText="0"/>
    </x:xf>
    <x:xf numFmtId="164" fontId="11" fillId="8" borderId="0" xfId="0" applyNumberFormat="1" applyFont="1" applyFill="1" applyBorder="1" applyAlignment="1">
      <x:alignment horizontal="general" vertical="bottom" wrapText="0"/>
    </x:xf>
    <x:xf numFmtId="164" fontId="11" fillId="8" borderId="0" xfId="0" applyNumberFormat="1" applyFont="1" applyFill="1" applyBorder="1" applyAlignment="1">
      <x:alignment horizontal="general" vertical="center" wrapText="0"/>
    </x:xf>
    <x:xf numFmtId="164" fontId="0" fillId="9" borderId="0" xfId="0" applyNumberFormat="1" applyFont="1" applyFill="1" applyBorder="1" applyAlignment="1">
      <x:alignment horizontal="general" vertical="bottom" wrapText="0"/>
    </x:xf>
    <x:xf numFmtId="164" fontId="12" fillId="9" borderId="0" xfId="0" applyNumberFormat="1" applyFont="1" applyFill="1" applyBorder="1" applyAlignment="1">
      <x:alignment horizontal="general" vertical="bottom" wrapText="0"/>
    </x:xf>
    <x:xf numFmtId="164" fontId="11" fillId="8" borderId="0" xfId="0" applyNumberFormat="1" applyFont="1" applyFill="1" applyBorder="1" applyAlignment="1">
      <x:alignment horizontal="general" vertical="center" wrapText="1"/>
    </x:xf>
    <x:xf numFmtId="164" fontId="0" fillId="0" borderId="0" xfId="0" applyNumberFormat="1" applyFont="1" applyFill="1" applyBorder="1" applyAlignment="1">
      <x:alignment horizontal="general" vertical="bottom" wrapText="1"/>
    </x:xf>
    <x:xf numFmtId="164" fontId="12" fillId="9" borderId="0" xfId="0" applyNumberFormat="1" applyFont="1" applyFill="1" applyBorder="1" applyAlignment="1">
      <x:alignment horizontal="general" vertical="bottom" wrapText="1"/>
    </x:xf>
    <x:xf numFmtId="164" fontId="0" fillId="10" borderId="0" xfId="0" applyNumberFormat="1" applyFont="1" applyFill="1" applyBorder="1" applyAlignment="1">
      <x:alignment horizontal="general" vertical="bottom" wrapText="1"/>
    </x:xf>
    <x:xf numFmtId="164" fontId="12" fillId="10"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FCC"/>
      <x:rgbColor rgb="FFDDEBF7"/>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6EFCE"/>
      <x:rgbColor rgb="FFFFFF99"/>
      <x:rgbColor rgb="FF99CCFF"/>
      <x:rgbColor rgb="FFFF99CC"/>
      <x:rgbColor rgb="FFCC99FF"/>
      <x:rgbColor rgb="FFFFCC99"/>
      <x:rgbColor rgb="FF3366FF"/>
      <x:rgbColor rgb="FF33CCCC"/>
      <x:rgbColor rgb="FF99CC00"/>
      <x:rgbColor rgb="FFFFCC00"/>
      <x:rgbColor rgb="FFF79646"/>
      <x:rgbColor rgb="FFFF6600"/>
      <x:rgbColor rgb="FF666699"/>
      <x:rgbColor rgb="FF969696"/>
      <x:rgbColor rgb="FF003366"/>
      <x:rgbColor rgb="FF339966"/>
      <x:rgbColor rgb="FF003300"/>
      <x:rgbColor rgb="FF333300"/>
      <x:rgbColor rgb="FF993300"/>
      <x:rgbColor rgb="FF993366"/>
      <x:rgbColor rgb="FF1F4E7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4c32a854ff54ce0" /><Relationship Type="http://schemas.openxmlformats.org/officeDocument/2006/relationships/theme" Target="/xl/theme/theme1.xml" Id="R3719b112851d426b" /><Relationship Type="http://schemas.openxmlformats.org/officeDocument/2006/relationships/sharedStrings" Target="/xl/sharedStrings.xml" Id="Rd2fa7d96bec54d29" /><Relationship Type="http://schemas.openxmlformats.org/officeDocument/2006/relationships/worksheet" Target="/xl/worksheets/sheet1.xml" Id="Raf53e1cfceb74fb5" /><Relationship Type="http://schemas.openxmlformats.org/officeDocument/2006/relationships/worksheet" Target="/xl/worksheets/sheet2.xml" Id="Rcc177ddbd2e642c8" /><Relationship Type="http://schemas.openxmlformats.org/officeDocument/2006/relationships/worksheet" Target="/xl/worksheets/sheet3.xml" Id="Ra1e830afa0dc4ee2" /><Relationship Type="http://schemas.openxmlformats.org/officeDocument/2006/relationships/worksheet" Target="/xl/worksheets/sheet4.xml" Id="Rb2fb31cfee844a16" /><Relationship Type="http://schemas.openxmlformats.org/officeDocument/2006/relationships/worksheet" Target="/xl/worksheets/sheet5.xml" Id="R6dc3aeea6d2646e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25.83203125" defaultRowHeight="39.75"/>
  <x:cols>
    <x:col min="1" max="3" width="25.829999923706055" style="1" hidden="0" customWidth="0"/>
    <x:col min="4" max="4" width="25.829999923706055" style="2" hidden="0" customWidth="0"/>
    <x:col min="5" max="6" width="25.829999923706055" style="1" hidden="0" customWidth="0"/>
    <x:col min="7" max="8" width="25.829999923706055" style="2" hidden="0" customWidth="0"/>
    <x:col min="9" max="11" width="25.829999923706055" style="1" hidden="0" customWidth="0"/>
    <x:col min="12" max="12" width="25.829999923706055" style="2" hidden="0" customWidth="0"/>
    <x:col min="13" max="16384" width="25.829999923706055" style="1" hidden="0" customWidth="0"/>
  </x:cols>
  <x:sheetData>
    <x:row r="1" s="5" customFormat="1" ht="39.75" hidden="0" customHeight="1">
      <x:c r="A1" s="3"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4" t="s">
        <x:v>14</x:v>
      </x:c>
    </x:row>
    <x:row r="2" ht="39.75" hidden="0" customHeight="1">
      <x:c r="A2" s="6" t="s">
        <x:v>15</x:v>
      </x:c>
      <x:c r="B2" s="6" t="s">
        <x:v>16</x:v>
      </x:c>
      <x:c r="C2" s="6" t="s">
        <x:v>17</x:v>
      </x:c>
      <x:c r="D2" s="7" t="s">
        <x:v>18</x:v>
      </x:c>
      <x:c r="E2" s="6" t="s">
        <x:v>19</x:v>
      </x:c>
      <x:c r="F2" s="6" t="s">
        <x:v>20</x:v>
      </x:c>
      <x:c r="G2" s="7" t="s">
        <x:v>21</x:v>
      </x:c>
      <x:c r="H2" s="47" t="str">
        <x:v>12053000</x:v>
      </x:c>
      <x:c r="I2" s="8" t="s">
        <x:v>22</x:v>
      </x:c>
      <x:c r="J2" s="6" t="n">
        <x:v>52.3472237</x:v>
      </x:c>
      <x:c r="K2" s="6" t="n">
        <x:v>14.5505673</x:v>
      </x:c>
      <x:c r="L2" s="7"/>
      <x:c r="M2" s="6" t="s">
        <x:v>23</x:v>
      </x:c>
      <x:c r="N2" s="9" t="s">
        <x:v>24</x:v>
      </x:c>
      <x:c r="O2" s="10"/>
    </x:row>
    <x:row r="3" ht="39.75" hidden="0" customHeight="1">
      <x:c r="A3" s="6" t="s">
        <x:v>25</x:v>
      </x:c>
      <x:c r="B3" s="6" t="s">
        <x:v>16</x:v>
      </x:c>
      <x:c r="C3" s="6" t="s">
        <x:v>17</x:v>
      </x:c>
      <x:c r="D3" s="7" t="s">
        <x:v>26</x:v>
      </x:c>
      <x:c r="E3" s="6" t="s">
        <x:v>19</x:v>
      </x:c>
      <x:c r="F3" s="6" t="s">
        <x:v>20</x:v>
      </x:c>
      <x:c r="G3" s="7" t="s">
        <x:v>27</x:v>
      </x:c>
      <x:c r="H3" s="47" t="str">
        <x:v>12072477</x:v>
      </x:c>
      <x:c r="I3" s="11" t="s">
        <x:v>28</x:v>
      </x:c>
      <x:c r="J3" s="11" t="n">
        <x:v>52.225673</x:v>
      </x:c>
      <x:c r="K3" s="11" t="n">
        <x:v>13.430684</x:v>
      </x:c>
      <x:c r="L3" s="7" t="n">
        <x:v>1000</x:v>
      </x:c>
      <x:c r="M3" s="6" t="s">
        <x:v>29</x:v>
      </x:c>
      <x:c r="N3" s="12" t="s">
        <x:v>30</x:v>
      </x:c>
      <x:c r="O3" s="13" t="s">
        <x:v>31</x:v>
      </x:c>
    </x:row>
    <x:row r="4" ht="39.75" hidden="0" customHeight="1">
      <x:c r="A4" s="6" t="s">
        <x:v>32</x:v>
      </x:c>
      <x:c r="B4" s="6" t="s">
        <x:v>16</x:v>
      </x:c>
      <x:c r="C4" s="6" t="s">
        <x:v>17</x:v>
      </x:c>
      <x:c r="D4" s="7" t="s">
        <x:v>33</x:v>
      </x:c>
      <x:c r="E4" s="6" t="s">
        <x:v>34</x:v>
      </x:c>
      <x:c r="F4" s="6" t="s">
        <x:v>20</x:v>
      </x:c>
      <x:c r="G4" s="7" t="s">
        <x:v>35</x:v>
      </x:c>
      <x:c r="H4" s="47" t="str">
        <x:v>12067120</x:v>
      </x:c>
      <x:c r="I4" s="6" t="s">
        <x:v>36</x:v>
      </x:c>
      <x:c r="J4" s="6" t="n">
        <x:v>52.134509</x:v>
      </x:c>
      <x:c r="K4" s="6" t="n">
        <x:v>14.629595</x:v>
      </x:c>
      <x:c r="L4" s="7" t="n">
        <x:v>1085</x:v>
      </x:c>
      <x:c r="M4" s="6" t="s">
        <x:v>37</x:v>
      </x:c>
      <x:c r="N4" s="9" t="s">
        <x:v>38</x:v>
      </x:c>
      <x:c r="O4" s="10" t="s">
        <x:v>39</x:v>
      </x:c>
    </x:row>
    <x:row r="5" ht="39.75" hidden="0" customHeight="1">
      <x:c r="A5" s="6" t="s">
        <x:v>40</x:v>
      </x:c>
      <x:c r="B5" s="6" t="s">
        <x:v>41</x:v>
      </x:c>
      <x:c r="C5" s="6" t="s">
        <x:v>42</x:v>
      </x:c>
      <x:c r="D5" s="7" t="s">
        <x:v>43</x:v>
      </x:c>
      <x:c r="E5" s="6" t="s">
        <x:v>44</x:v>
      </x:c>
      <x:c r="F5" s="6" t="s">
        <x:v>45</x:v>
      </x:c>
      <x:c r="G5" s="7" t="s">
        <x:v>46</x:v>
      </x:c>
      <x:c r="H5" s="47" t="str">
        <x:v>08221000</x:v>
      </x:c>
      <x:c r="I5" s="6" t="s">
        <x:v>47</x:v>
      </x:c>
      <x:c r="J5" s="6" t="n">
        <x:v>49.377</x:v>
      </x:c>
      <x:c r="K5" s="6" t="n">
        <x:v>8.638</x:v>
      </x:c>
      <x:c r="L5" s="7" t="n">
        <x:v>2000</x:v>
      </x:c>
      <x:c r="M5" s="6" t="s">
        <x:v>48</x:v>
      </x:c>
      <x:c r="N5" s="9" t="s">
        <x:v>49</x:v>
      </x:c>
      <x:c r="O5" s="10"/>
    </x:row>
    <x:row r="6" ht="39.75" hidden="0" customHeight="1">
      <x:c r="A6" s="6" t="s">
        <x:v>50</x:v>
      </x:c>
      <x:c r="B6" s="6" t="s">
        <x:v>41</x:v>
      </x:c>
      <x:c r="C6" s="6" t="s">
        <x:v>42</x:v>
      </x:c>
      <x:c r="D6" s="7" t="s">
        <x:v>51</x:v>
      </x:c>
      <x:c r="E6" s="6" t="s">
        <x:v>52</x:v>
      </x:c>
      <x:c r="F6" s="6" t="s">
        <x:v>45</x:v>
      </x:c>
      <x:c r="G6" s="7" t="s">
        <x:v>53</x:v>
      </x:c>
      <x:c r="H6" s="47" t="str">
        <x:v>08215102</x:v>
      </x:c>
      <x:c r="I6" s="8" t="s">
        <x:v>54</x:v>
      </x:c>
      <x:c r="J6" s="6" t="n">
        <x:v>49.0859332</x:v>
      </x:c>
      <x:c r="K6" s="6" t="n">
        <x:v>8.3992296</x:v>
      </x:c>
      <x:c r="L6" s="7" t="n">
        <x:v>200</x:v>
      </x:c>
      <x:c r="M6" s="6" t="s">
        <x:v>55</x:v>
      </x:c>
      <x:c r="N6" s="9" t="s">
        <x:v>24</x:v>
      </x:c>
      <x:c r="O6" s="10"/>
    </x:row>
    <x:row r="7" ht="39.75" hidden="0" customHeight="1">
      <x:c r="A7" s="6" t="s">
        <x:v>56</x:v>
      </x:c>
      <x:c r="B7" s="6" t="s">
        <x:v>41</x:v>
      </x:c>
      <x:c r="C7" s="6" t="s">
        <x:v>42</x:v>
      </x:c>
      <x:c r="D7" s="7" t="s">
        <x:v>57</x:v>
      </x:c>
      <x:c r="E7" s="6" t="s">
        <x:v>58</x:v>
      </x:c>
      <x:c r="F7" s="6" t="s">
        <x:v>45</x:v>
      </x:c>
      <x:c r="G7" s="7" t="s">
        <x:v>59</x:v>
      </x:c>
      <x:c r="H7" s="47" t="str">
        <x:v>08135016</x:v>
      </x:c>
      <x:c r="I7" s="8" t="s">
        <x:v>60</x:v>
      </x:c>
      <x:c r="J7" s="6" t="n">
        <x:v>48.6223985</x:v>
      </x:c>
      <x:c r="K7" s="6" t="n">
        <x:v>10.2391536</x:v>
      </x:c>
      <x:c r="L7" s="7" t="n">
        <x:v>130</x:v>
      </x:c>
      <x:c r="M7" s="6" t="s">
        <x:v>61</x:v>
      </x:c>
      <x:c r="N7" s="9" t="s">
        <x:v>24</x:v>
      </x:c>
      <x:c r="O7" s="10"/>
    </x:row>
    <x:row r="8" ht="39.75" hidden="0" customHeight="1">
      <x:c r="A8" s="6" t="s">
        <x:v>62</x:v>
      </x:c>
      <x:c r="B8" s="6" t="s">
        <x:v>41</x:v>
      </x:c>
      <x:c r="C8" s="6" t="s">
        <x:v>42</x:v>
      </x:c>
      <x:c r="D8" s="7" t="s">
        <x:v>63</x:v>
      </x:c>
      <x:c r="E8" s="6" t="s">
        <x:v>58</x:v>
      </x:c>
      <x:c r="F8" s="6" t="s">
        <x:v>64</x:v>
      </x:c>
      <x:c r="G8" s="7" t="s">
        <x:v>65</x:v>
      </x:c>
      <x:c r="H8" s="47" t="str">
        <x:v>08118046</x:v>
      </x:c>
      <x:c r="I8" s="6" t="s">
        <x:v>66</x:v>
      </x:c>
      <x:c r="J8" s="6" t="n">
        <x:v>48.8720109</x:v>
      </x:c>
      <x:c r="K8" s="6" t="n">
        <x:v>9.1817516</x:v>
      </x:c>
      <x:c r="L8" s="7" t="n">
        <x:v>220</x:v>
      </x:c>
      <x:c r="M8" s="6" t="s">
        <x:v>67</x:v>
      </x:c>
      <x:c r="N8" s="9" t="s">
        <x:v>38</x:v>
      </x:c>
      <x:c r="O8" s="10"/>
    </x:row>
    <x:row r="9" ht="39.75" hidden="0" customHeight="1">
      <x:c r="A9" s="6" t="s">
        <x:v>68</x:v>
      </x:c>
      <x:c r="B9" s="6" t="s">
        <x:v>41</x:v>
      </x:c>
      <x:c r="C9" s="6" t="s">
        <x:v>42</x:v>
      </x:c>
      <x:c r="D9" s="7" t="s">
        <x:v>69</x:v>
      </x:c>
      <x:c r="E9" s="6" t="s">
        <x:v>58</x:v>
      </x:c>
      <x:c r="F9" s="6" t="s">
        <x:v>45</x:v>
      </x:c>
      <x:c r="G9" s="7" t="s">
        <x:v>70</x:v>
      </x:c>
      <x:c r="H9" s="47" t="str">
        <x:v>08226084</x:v>
      </x:c>
      <x:c r="I9" s="6" t="s">
        <x:v>71</x:v>
      </x:c>
      <x:c r="J9" s="6" t="n">
        <x:v>49.4054612</x:v>
      </x:c>
      <x:c r="K9" s="6" t="n">
        <x:v>8.5622953</x:v>
      </x:c>
      <x:c r="L9" s="7"/>
      <x:c r="M9" s="6" t="s">
        <x:v>72</x:v>
      </x:c>
      <x:c r="N9" s="9" t="s">
        <x:v>38</x:v>
      </x:c>
      <x:c r="O9" s="10"/>
    </x:row>
    <x:row r="10" ht="39.75" hidden="0" customHeight="1">
      <x:c r="A10" s="6" t="s">
        <x:v>73</x:v>
      </x:c>
      <x:c r="B10" s="6" t="s">
        <x:v>41</x:v>
      </x:c>
      <x:c r="C10" s="6" t="s">
        <x:v>42</x:v>
      </x:c>
      <x:c r="D10" s="7" t="s">
        <x:v>74</x:v>
      </x:c>
      <x:c r="E10" s="6" t="s">
        <x:v>58</x:v>
      </x:c>
      <x:c r="F10" s="6" t="s">
        <x:v>45</x:v>
      </x:c>
      <x:c r="G10" s="7" t="s">
        <x:v>75</x:v>
      </x:c>
      <x:c r="H10" s="47" t="str">
        <x:v>08416041</x:v>
      </x:c>
      <x:c r="I10" s="8" t="s">
        <x:v>60</x:v>
      </x:c>
      <x:c r="J10" s="6" t="n">
        <x:v>48.5216364</x:v>
      </x:c>
      <x:c r="K10" s="6" t="n">
        <x:v>9.0576448</x:v>
      </x:c>
      <x:c r="L10" s="7"/>
      <x:c r="M10" s="6" t="s">
        <x:v>76</x:v>
      </x:c>
      <x:c r="N10" s="9" t="s">
        <x:v>24</x:v>
      </x:c>
      <x:c r="O10" s="10"/>
    </x:row>
    <x:row r="11" ht="39.75" hidden="0" customHeight="1">
      <x:c r="A11" s="6" t="s">
        <x:v>77</x:v>
      </x:c>
      <x:c r="B11" s="6" t="s">
        <x:v>41</x:v>
      </x:c>
      <x:c r="C11" s="6" t="s">
        <x:v>42</x:v>
      </x:c>
      <x:c r="D11" s="7" t="s">
        <x:v>78</x:v>
      </x:c>
      <x:c r="E11" s="6" t="s">
        <x:v>79</x:v>
      </x:c>
      <x:c r="F11" s="6" t="s">
        <x:v>45</x:v>
      </x:c>
      <x:c r="G11" s="7" t="s">
        <x:v>80</x:v>
      </x:c>
      <x:c r="H11" s="47" t="str">
        <x:v>08136019</x:v>
      </x:c>
      <x:c r="I11" s="6" t="s">
        <x:v>81</x:v>
      </x:c>
      <x:c r="J11" s="6" t="n">
        <x:v>48.950695</x:v>
      </x:c>
      <x:c r="K11" s="6" t="n">
        <x:v>10.129213</x:v>
      </x:c>
      <x:c r="L11" s="7" t="n">
        <x:v>700</x:v>
      </x:c>
      <x:c r="M11" s="6" t="s">
        <x:v>82</x:v>
      </x:c>
      <x:c r="N11" s="9" t="s">
        <x:v>83</x:v>
      </x:c>
      <x:c r="O11" s="10" t="s">
        <x:v>84</x:v>
      </x:c>
    </x:row>
    <x:row r="12" ht="39.75" hidden="0" customHeight="1">
      <x:c r="A12" s="6" t="s">
        <x:v>85</x:v>
      </x:c>
      <x:c r="B12" s="6" t="s">
        <x:v>41</x:v>
      </x:c>
      <x:c r="C12" s="6" t="s">
        <x:v>42</x:v>
      </x:c>
      <x:c r="D12" s="7" t="s">
        <x:v>86</x:v>
      </x:c>
      <x:c r="E12" s="6" t="s">
        <x:v>79</x:v>
      </x:c>
      <x:c r="F12" s="6" t="s">
        <x:v>45</x:v>
      </x:c>
      <x:c r="G12" s="7" t="s">
        <x:v>87</x:v>
      </x:c>
      <x:c r="H12" s="47" t="str">
        <x:v>08311000</x:v>
      </x:c>
      <x:c r="I12" s="6" t="s">
        <x:v>88</x:v>
      </x:c>
      <x:c r="J12" s="6" t="n">
        <x:v>47.983255</x:v>
      </x:c>
      <x:c r="K12" s="6" t="n">
        <x:v>7.823871</x:v>
      </x:c>
      <x:c r="L12" s="7" t="n">
        <x:v>800</x:v>
      </x:c>
      <x:c r="M12" s="6" t="s">
        <x:v>89</x:v>
      </x:c>
      <x:c r="N12" s="9" t="s">
        <x:v>38</x:v>
      </x:c>
      <x:c r="O12" s="10" t="s">
        <x:v>90</x:v>
      </x:c>
    </x:row>
    <x:row r="13" ht="39.75" hidden="0" customHeight="1">
      <x:c r="A13" s="6" t="s">
        <x:v>91</x:v>
      </x:c>
      <x:c r="B13" s="6" t="s">
        <x:v>41</x:v>
      </x:c>
      <x:c r="C13" s="6" t="s">
        <x:v>42</x:v>
      </x:c>
      <x:c r="D13" s="7" t="s">
        <x:v>92</x:v>
      </x:c>
      <x:c r="E13" s="6" t="s">
        <x:v>79</x:v>
      </x:c>
      <x:c r="F13" s="6" t="s">
        <x:v>45</x:v>
      </x:c>
      <x:c r="G13" s="7" t="s">
        <x:v>93</x:v>
      </x:c>
      <x:c r="H13" s="47" t="str">
        <x:v>08212000</x:v>
      </x:c>
      <x:c r="I13" s="6" t="s">
        <x:v>94</x:v>
      </x:c>
      <x:c r="J13" s="6" t="n">
        <x:v>49.003592</x:v>
      </x:c>
      <x:c r="K13" s="6" t="n">
        <x:v>8.436183</x:v>
      </x:c>
      <x:c r="L13" s="7" t="n">
        <x:v>1000</x:v>
      </x:c>
      <x:c r="M13" s="6" t="s">
        <x:v>95</x:v>
      </x:c>
      <x:c r="N13" s="9" t="s">
        <x:v>38</x:v>
      </x:c>
      <x:c r="O13" s="10" t="s">
        <x:v>96</x:v>
      </x:c>
    </x:row>
    <x:row r="14" ht="39.75" hidden="0" customHeight="1">
      <x:c r="A14" s="6" t="s">
        <x:v>97</x:v>
      </x:c>
      <x:c r="B14" s="6" t="s">
        <x:v>41</x:v>
      </x:c>
      <x:c r="C14" s="6" t="s">
        <x:v>42</x:v>
      </x:c>
      <x:c r="D14" s="7" t="s">
        <x:v>98</x:v>
      </x:c>
      <x:c r="E14" s="6" t="s">
        <x:v>99</x:v>
      </x:c>
      <x:c r="F14" s="6" t="s">
        <x:v>45</x:v>
      </x:c>
      <x:c r="G14" s="7" t="s">
        <x:v>93</x:v>
      </x:c>
      <x:c r="H14" s="47" t="str">
        <x:v>08212000</x:v>
      </x:c>
      <x:c r="I14" s="6" t="s">
        <x:v>100</x:v>
      </x:c>
      <x:c r="J14" s="6" t="n">
        <x:v>49.0056075</x:v>
      </x:c>
      <x:c r="K14" s="6" t="n">
        <x:v>8.3614937</x:v>
      </x:c>
      <x:c r="L14" s="7"/>
      <x:c r="M14" s="6" t="s">
        <x:v>101</x:v>
      </x:c>
      <x:c r="N14" s="9" t="s">
        <x:v>38</x:v>
      </x:c>
      <x:c r="O14" s="10"/>
    </x:row>
    <x:row r="15" ht="39.75" hidden="0" customHeight="1">
      <x:c r="A15" s="6" t="s">
        <x:v>102</x:v>
      </x:c>
      <x:c r="B15" s="6" t="s">
        <x:v>41</x:v>
      </x:c>
      <x:c r="C15" s="6" t="s">
        <x:v>42</x:v>
      </x:c>
      <x:c r="D15" s="7" t="s">
        <x:v>103</x:v>
      </x:c>
      <x:c r="E15" s="6" t="s">
        <x:v>99</x:v>
      </x:c>
      <x:c r="F15" s="6" t="s">
        <x:v>45</x:v>
      </x:c>
      <x:c r="G15" s="7" t="s">
        <x:v>93</x:v>
      </x:c>
      <x:c r="H15" s="47" t="str">
        <x:v>08212000</x:v>
      </x:c>
      <x:c r="I15" s="6" t="s">
        <x:v>104</x:v>
      </x:c>
      <x:c r="J15" s="6" t="n">
        <x:v>49.0094777</x:v>
      </x:c>
      <x:c r="K15" s="6" t="n">
        <x:v>8.3663252</x:v>
      </x:c>
      <x:c r="L15" s="7"/>
      <x:c r="M15" s="6" t="s">
        <x:v>105</x:v>
      </x:c>
      <x:c r="N15" s="9" t="s">
        <x:v>38</x:v>
      </x:c>
      <x:c r="O15" s="10"/>
    </x:row>
    <x:row r="16" ht="39.75" hidden="0" customHeight="1">
      <x:c r="A16" s="6" t="s">
        <x:v>106</x:v>
      </x:c>
      <x:c r="B16" s="6" t="s">
        <x:v>41</x:v>
      </x:c>
      <x:c r="C16" s="6" t="s">
        <x:v>42</x:v>
      </x:c>
      <x:c r="D16" s="7" t="s">
        <x:v>107</x:v>
      </x:c>
      <x:c r="E16" s="6" t="s">
        <x:v>79</x:v>
      </x:c>
      <x:c r="F16" s="6" t="s">
        <x:v>45</x:v>
      </x:c>
      <x:c r="G16" s="7" t="s">
        <x:v>108</x:v>
      </x:c>
      <x:c r="H16" s="47" t="str">
        <x:v>08437104</x:v>
      </x:c>
      <x:c r="I16" s="6" t="s">
        <x:v>109</x:v>
      </x:c>
      <x:c r="J16" s="6" t="n">
        <x:v>48.093835</x:v>
      </x:c>
      <x:c r="K16" s="6" t="n">
        <x:v>9.242767</x:v>
      </x:c>
      <x:c r="L16" s="7" t="n">
        <x:v>875</x:v>
      </x:c>
      <x:c r="M16" s="6" t="s">
        <x:v>110</x:v>
      </x:c>
      <x:c r="N16" s="9" t="s">
        <x:v>38</x:v>
      </x:c>
      <x:c r="O16" s="10" t="s">
        <x:v>111</x:v>
      </x:c>
    </x:row>
    <x:row r="17" ht="39.75" hidden="0" customHeight="1">
      <x:c r="A17" s="6" t="s">
        <x:v>112</x:v>
      </x:c>
      <x:c r="B17" s="6" t="s">
        <x:v>113</x:v>
      </x:c>
      <x:c r="C17" s="6" t="s">
        <x:v>114</x:v>
      </x:c>
      <x:c r="D17" s="7" t="s">
        <x:v>115</x:v>
      </x:c>
      <x:c r="E17" s="6" t="s">
        <x:v>116</x:v>
      </x:c>
      <x:c r="F17" s="6" t="s">
        <x:v>117</x:v>
      </x:c>
      <x:c r="G17" s="7" t="s">
        <x:v>118</x:v>
      </x:c>
      <x:c r="H17" s="47" t="str">
        <x:v>09761000</x:v>
      </x:c>
      <x:c r="I17" s="6" t="s">
        <x:v>119</x:v>
      </x:c>
      <x:c r="J17" s="6" t="n">
        <x:v>48.387055</x:v>
      </x:c>
      <x:c r="K17" s="6" t="n">
        <x:v>10.8456057</x:v>
      </x:c>
      <x:c r="L17" s="7" t="n">
        <x:v>111</x:v>
      </x:c>
      <x:c r="M17" s="6" t="s">
        <x:v>120</x:v>
      </x:c>
      <x:c r="N17" s="9" t="s">
        <x:v>38</x:v>
      </x:c>
      <x:c r="O17" s="10"/>
    </x:row>
    <x:row r="18" ht="39.75" hidden="0" customHeight="1">
      <x:c r="A18" s="6" t="s">
        <x:v>121</x:v>
      </x:c>
      <x:c r="B18" s="6" t="s">
        <x:v>113</x:v>
      </x:c>
      <x:c r="C18" s="6" t="s">
        <x:v>114</x:v>
      </x:c>
      <x:c r="D18" s="7" t="s">
        <x:v>122</x:v>
      </x:c>
      <x:c r="E18" s="6" t="s">
        <x:v>116</x:v>
      </x:c>
      <x:c r="F18" s="6" t="s">
        <x:v>117</x:v>
      </x:c>
      <x:c r="G18" s="7" t="s">
        <x:v>123</x:v>
      </x:c>
      <x:c r="H18" s="47" t="str">
        <x:v>09774135</x:v>
      </x:c>
      <x:c r="I18" s="6" t="s">
        <x:v>124</x:v>
      </x:c>
      <x:c r="J18" s="6" t="n">
        <x:v>48.47085</x:v>
      </x:c>
      <x:c r="K18" s="6" t="n">
        <x:v>10.280627</x:v>
      </x:c>
      <x:c r="L18" s="7" t="n">
        <x:v>200</x:v>
      </x:c>
      <x:c r="M18" s="6" t="s">
        <x:v>125</x:v>
      </x:c>
      <x:c r="N18" s="9" t="s">
        <x:v>83</x:v>
      </x:c>
      <x:c r="O18" s="10" t="s">
        <x:v>126</x:v>
      </x:c>
    </x:row>
    <x:row r="19" ht="39.75" hidden="0" customHeight="1">
      <x:c r="A19" s="6" t="s">
        <x:v>127</x:v>
      </x:c>
      <x:c r="B19" s="6" t="s">
        <x:v>113</x:v>
      </x:c>
      <x:c r="C19" s="6" t="s">
        <x:v>114</x:v>
      </x:c>
      <x:c r="D19" s="7" t="s">
        <x:v>128</x:v>
      </x:c>
      <x:c r="E19" s="6" t="s">
        <x:v>116</x:v>
      </x:c>
      <x:c r="F19" s="6" t="s">
        <x:v>117</x:v>
      </x:c>
      <x:c r="G19" s="7" t="s">
        <x:v>129</x:v>
      </x:c>
      <x:c r="H19" s="47" t="str">
        <x:v>09763000</x:v>
      </x:c>
      <x:c r="I19" s="6" t="s">
        <x:v>130</x:v>
      </x:c>
      <x:c r="J19" s="6" t="n">
        <x:v>47.7361587</x:v>
      </x:c>
      <x:c r="K19" s="6" t="n">
        <x:v>10.3241548</x:v>
      </x:c>
      <x:c r="L19" s="7" t="n">
        <x:v>150</x:v>
      </x:c>
      <x:c r="M19" s="6" t="s">
        <x:v>131</x:v>
      </x:c>
      <x:c r="N19" s="9" t="s">
        <x:v>38</x:v>
      </x:c>
      <x:c r="O19" s="10"/>
    </x:row>
    <x:row r="20" ht="39.75" hidden="0" customHeight="1">
      <x:c r="A20" s="6" t="s">
        <x:v>132</x:v>
      </x:c>
      <x:c r="B20" s="6" t="s">
        <x:v>113</x:v>
      </x:c>
      <x:c r="C20" s="6" t="s">
        <x:v>114</x:v>
      </x:c>
      <x:c r="D20" s="7" t="s">
        <x:v>133</x:v>
      </x:c>
      <x:c r="E20" s="6" t="s">
        <x:v>116</x:v>
      </x:c>
      <x:c r="F20" s="6" t="s">
        <x:v>117</x:v>
      </x:c>
      <x:c r="G20" s="7" t="s">
        <x:v>118</x:v>
      </x:c>
      <x:c r="H20" s="47" t="str">
        <x:v>09761000</x:v>
      </x:c>
      <x:c r="I20" s="6" t="s">
        <x:v>134</x:v>
      </x:c>
      <x:c r="J20" s="6" t="n">
        <x:v>48.3964037</x:v>
      </x:c>
      <x:c r="K20" s="6" t="n">
        <x:v>10.9313074</x:v>
      </x:c>
      <x:c r="L20" s="7" t="n">
        <x:v>110</x:v>
      </x:c>
      <x:c r="M20" s="6" t="s">
        <x:v>135</x:v>
      </x:c>
      <x:c r="N20" s="9" t="s">
        <x:v>38</x:v>
      </x:c>
      <x:c r="O20" s="10"/>
    </x:row>
    <x:row r="21" ht="39.75" hidden="0" customHeight="1">
      <x:c r="A21" s="6" t="s">
        <x:v>136</x:v>
      </x:c>
      <x:c r="B21" s="6" t="s">
        <x:v>113</x:v>
      </x:c>
      <x:c r="C21" s="6" t="s">
        <x:v>114</x:v>
      </x:c>
      <x:c r="D21" s="7" t="s">
        <x:v>137</x:v>
      </x:c>
      <x:c r="E21" s="6" t="s">
        <x:v>116</x:v>
      </x:c>
      <x:c r="F21" s="6" t="s">
        <x:v>117</x:v>
      </x:c>
      <x:c r="G21" s="7" t="s">
        <x:v>118</x:v>
      </x:c>
      <x:c r="H21" s="47" t="str">
        <x:v>09761000</x:v>
      </x:c>
      <x:c r="I21" s="6" t="s">
        <x:v>138</x:v>
      </x:c>
      <x:c r="J21" s="6" t="n">
        <x:v>48.3965755</x:v>
      </x:c>
      <x:c r="K21" s="6" t="n">
        <x:v>10.9327693</x:v>
      </x:c>
      <x:c r="L21" s="7" t="n">
        <x:v>80</x:v>
      </x:c>
      <x:c r="M21" s="6" t="s">
        <x:v>139</x:v>
      </x:c>
      <x:c r="N21" s="9" t="s">
        <x:v>38</x:v>
      </x:c>
      <x:c r="O21" s="10"/>
    </x:row>
    <x:row r="22" ht="39.75" hidden="0" customHeight="1">
      <x:c r="A22" s="6" t="s">
        <x:v>140</x:v>
      </x:c>
      <x:c r="B22" s="6" t="s">
        <x:v>113</x:v>
      </x:c>
      <x:c r="C22" s="6" t="s">
        <x:v>114</x:v>
      </x:c>
      <x:c r="D22" s="7" t="s">
        <x:v>141</x:v>
      </x:c>
      <x:c r="E22" s="6" t="s">
        <x:v>116</x:v>
      </x:c>
      <x:c r="F22" s="6" t="s">
        <x:v>117</x:v>
      </x:c>
      <x:c r="G22" s="7" t="s">
        <x:v>142</x:v>
      </x:c>
      <x:c r="H22" s="47" t="str">
        <x:v>09772209</x:v>
      </x:c>
      <x:c r="I22" s="6" t="s">
        <x:v>143</x:v>
      </x:c>
      <x:c r="J22" s="6" t="n">
        <x:v>48.1706775</x:v>
      </x:c>
      <x:c r="K22" s="6" t="n">
        <x:v>10.83232</x:v>
      </x:c>
      <x:c r="L22" s="7" t="n">
        <x:v>290</x:v>
      </x:c>
      <x:c r="M22" s="6" t="s">
        <x:v>144</x:v>
      </x:c>
      <x:c r="N22" s="9" t="s">
        <x:v>38</x:v>
      </x:c>
      <x:c r="O22" s="10"/>
    </x:row>
    <x:row r="23" ht="39.75" hidden="0" customHeight="1">
      <x:c r="A23" s="6" t="s">
        <x:v>145</x:v>
      </x:c>
      <x:c r="B23" s="6" t="s">
        <x:v>113</x:v>
      </x:c>
      <x:c r="C23" s="6" t="s">
        <x:v>114</x:v>
      </x:c>
      <x:c r="D23" s="7" t="s">
        <x:v>146</x:v>
      </x:c>
      <x:c r="E23" s="6" t="s">
        <x:v>147</x:v>
      </x:c>
      <x:c r="F23" s="6" t="s">
        <x:v>117</x:v>
      </x:c>
      <x:c r="G23" s="7" t="s">
        <x:v>148</x:v>
      </x:c>
      <x:c r="H23" s="47" t="str">
        <x:v>09461000</x:v>
      </x:c>
      <x:c r="I23" s="6" t="s">
        <x:v>149</x:v>
      </x:c>
      <x:c r="J23" s="6" t="n">
        <x:v>49.903825</x:v>
      </x:c>
      <x:c r="K23" s="6" t="n">
        <x:v>10.931059</x:v>
      </x:c>
      <x:c r="L23" s="7" t="n">
        <x:v>1562</x:v>
      </x:c>
      <x:c r="M23" s="6" t="s">
        <x:v>150</x:v>
      </x:c>
      <x:c r="N23" s="9" t="s">
        <x:v>38</x:v>
      </x:c>
      <x:c r="O23" s="10" t="s">
        <x:v>151</x:v>
      </x:c>
    </x:row>
    <x:row r="24" ht="39.75" hidden="0" customHeight="1">
      <x:c r="A24" s="6" t="s">
        <x:v>152</x:v>
      </x:c>
      <x:c r="B24" s="6" t="s">
        <x:v>113</x:v>
      </x:c>
      <x:c r="C24" s="6" t="s">
        <x:v>114</x:v>
      </x:c>
      <x:c r="D24" s="7" t="s">
        <x:v>153</x:v>
      </x:c>
      <x:c r="E24" s="6" t="s">
        <x:v>147</x:v>
      </x:c>
      <x:c r="F24" s="6" t="s">
        <x:v>117</x:v>
      </x:c>
      <x:c r="G24" s="7" t="s">
        <x:v>154</x:v>
      </x:c>
      <x:c r="H24" s="47" t="str">
        <x:v>09271119</x:v>
      </x:c>
      <x:c r="I24" s="6" t="s">
        <x:v>155</x:v>
      </x:c>
      <x:c r="J24" s="6" t="n">
        <x:v>48.8403</x:v>
      </x:c>
      <x:c r="K24" s="6" t="n">
        <x:v>12.9511</x:v>
      </x:c>
      <x:c r="L24" s="7" t="n">
        <x:v>900</x:v>
      </x:c>
      <x:c r="M24" s="6" t="s">
        <x:v>156</x:v>
      </x:c>
      <x:c r="N24" s="9" t="s">
        <x:v>38</x:v>
      </x:c>
      <x:c r="O24" s="10"/>
    </x:row>
    <x:row r="25" ht="39.75" hidden="0" customHeight="1">
      <x:c r="A25" s="6" t="s">
        <x:v>157</x:v>
      </x:c>
      <x:c r="B25" s="6" t="s">
        <x:v>113</x:v>
      </x:c>
      <x:c r="C25" s="6" t="s">
        <x:v>114</x:v>
      </x:c>
      <x:c r="D25" s="7" t="s">
        <x:v>158</x:v>
      </x:c>
      <x:c r="E25" s="6" t="s">
        <x:v>116</x:v>
      </x:c>
      <x:c r="F25" s="6" t="s">
        <x:v>117</x:v>
      </x:c>
      <x:c r="G25" s="7" t="s">
        <x:v>159</x:v>
      </x:c>
      <x:c r="H25" s="47" t="str">
        <x:v>09271125</x:v>
      </x:c>
      <x:c r="I25" s="8" t="s">
        <x:v>160</x:v>
      </x:c>
      <x:c r="J25" s="6" t="n">
        <x:v>48.781507</x:v>
      </x:c>
      <x:c r="K25" s="6" t="n">
        <x:v>13.0527544</x:v>
      </x:c>
      <x:c r="L25" s="7"/>
      <x:c r="M25" s="6" t="s">
        <x:v>161</x:v>
      </x:c>
      <x:c r="N25" s="9" t="s">
        <x:v>24</x:v>
      </x:c>
      <x:c r="O25" s="10"/>
    </x:row>
    <x:row r="26" ht="39.75" hidden="0" customHeight="1">
      <x:c r="A26" s="6" t="s">
        <x:v>162</x:v>
      </x:c>
      <x:c r="B26" s="6" t="s">
        <x:v>113</x:v>
      </x:c>
      <x:c r="C26" s="6" t="s">
        <x:v>114</x:v>
      </x:c>
      <x:c r="D26" s="7" t="s">
        <x:v>163</x:v>
      </x:c>
      <x:c r="E26" s="6" t="s">
        <x:v>116</x:v>
      </x:c>
      <x:c r="F26" s="6" t="s">
        <x:v>117</x:v>
      </x:c>
      <x:c r="G26" s="7" t="s">
        <x:v>164</x:v>
      </x:c>
      <x:c r="H26" s="47" t="str">
        <x:v>09271141</x:v>
      </x:c>
      <x:c r="I26" s="8" t="s">
        <x:v>160</x:v>
      </x:c>
      <x:c r="J26" s="6" t="n">
        <x:v>48.6998836</x:v>
      </x:c>
      <x:c r="K26" s="6" t="n">
        <x:v>13.0228558</x:v>
      </x:c>
      <x:c r="L26" s="7"/>
      <x:c r="M26" s="6" t="s">
        <x:v>165</x:v>
      </x:c>
      <x:c r="N26" s="9" t="s">
        <x:v>24</x:v>
      </x:c>
      <x:c r="O26" s="10"/>
    </x:row>
    <x:row r="27" ht="39.75" hidden="0" customHeight="1">
      <x:c r="A27" s="6" t="s">
        <x:v>166</x:v>
      </x:c>
      <x:c r="B27" s="6" t="s">
        <x:v>113</x:v>
      </x:c>
      <x:c r="C27" s="6" t="s">
        <x:v>114</x:v>
      </x:c>
      <x:c r="D27" s="7" t="s">
        <x:v>167</x:v>
      </x:c>
      <x:c r="E27" s="6" t="s">
        <x:v>116</x:v>
      </x:c>
      <x:c r="F27" s="6" t="s">
        <x:v>117</x:v>
      </x:c>
      <x:c r="G27" s="7" t="s">
        <x:v>168</x:v>
      </x:c>
      <x:c r="H27" s="47" t="str">
        <x:v>09271151</x:v>
      </x:c>
      <x:c r="I27" s="8" t="s">
        <x:v>160</x:v>
      </x:c>
      <x:c r="J27" s="6" t="n">
        <x:v>48.8166954</x:v>
      </x:c>
      <x:c r="K27" s="6" t="n">
        <x:v>12.802437</x:v>
      </x:c>
      <x:c r="L27" s="7"/>
      <x:c r="M27" s="6" t="s">
        <x:v>165</x:v>
      </x:c>
      <x:c r="N27" s="9" t="s">
        <x:v>24</x:v>
      </x:c>
      <x:c r="O27" s="10"/>
    </x:row>
    <x:row r="28" ht="39.75" hidden="0" customHeight="1">
      <x:c r="A28" s="6" t="s">
        <x:v>169</x:v>
      </x:c>
      <x:c r="B28" s="6" t="s">
        <x:v>113</x:v>
      </x:c>
      <x:c r="C28" s="6" t="s">
        <x:v>114</x:v>
      </x:c>
      <x:c r="D28" s="7" t="s">
        <x:v>170</x:v>
      </x:c>
      <x:c r="E28" s="6" t="s">
        <x:v>116</x:v>
      </x:c>
      <x:c r="F28" s="6" t="s">
        <x:v>117</x:v>
      </x:c>
      <x:c r="G28" s="7" t="s">
        <x:v>171</x:v>
      </x:c>
      <x:c r="H28" s="47" t="str">
        <x:v>09179121</x:v>
      </x:c>
      <x:c r="I28" s="6" t="s">
        <x:v>172</x:v>
      </x:c>
      <x:c r="J28" s="6" t="n">
        <x:v>48.2002567</x:v>
      </x:c>
      <x:c r="K28" s="6" t="n">
        <x:v>11.2788619</x:v>
      </x:c>
      <x:c r="L28" s="7" t="n">
        <x:v>1000</x:v>
      </x:c>
      <x:c r="M28" s="6" t="s">
        <x:v>173</x:v>
      </x:c>
      <x:c r="N28" s="9" t="s">
        <x:v>49</x:v>
      </x:c>
      <x:c r="O28" s="10"/>
    </x:row>
    <x:row r="29" ht="39.75" hidden="0" customHeight="1">
      <x:c r="A29" s="6" t="s">
        <x:v>174</x:v>
      </x:c>
      <x:c r="B29" s="6" t="s">
        <x:v>113</x:v>
      </x:c>
      <x:c r="C29" s="6" t="s">
        <x:v>114</x:v>
      </x:c>
      <x:c r="D29" s="7" t="s">
        <x:v>175</x:v>
      </x:c>
      <x:c r="E29" s="6" t="s">
        <x:v>116</x:v>
      </x:c>
      <x:c r="F29" s="6" t="s">
        <x:v>117</x:v>
      </x:c>
      <x:c r="G29" s="7" t="s">
        <x:v>176</x:v>
      </x:c>
      <x:c r="H29" s="47" t="str">
        <x:v>09180117</x:v>
      </x:c>
      <x:c r="I29" s="6" t="s">
        <x:v>177</x:v>
      </x:c>
      <x:c r="J29" s="6" t="n">
        <x:v>47.4836347</x:v>
      </x:c>
      <x:c r="K29" s="6" t="n">
        <x:v>11.0623838</x:v>
      </x:c>
      <x:c r="L29" s="7" t="n">
        <x:v>304</x:v>
      </x:c>
      <x:c r="M29" s="6" t="s">
        <x:v>178</x:v>
      </x:c>
      <x:c r="N29" s="9" t="s">
        <x:v>49</x:v>
      </x:c>
      <x:c r="O29" s="10"/>
    </x:row>
    <x:row r="30" ht="39.75" hidden="0" customHeight="1">
      <x:c r="A30" s="6" t="s">
        <x:v>179</x:v>
      </x:c>
      <x:c r="B30" s="6" t="s">
        <x:v>113</x:v>
      </x:c>
      <x:c r="C30" s="6" t="s">
        <x:v>114</x:v>
      </x:c>
      <x:c r="D30" s="7" t="s">
        <x:v>180</x:v>
      </x:c>
      <x:c r="E30" s="6" t="s">
        <x:v>116</x:v>
      </x:c>
      <x:c r="F30" s="6" t="s">
        <x:v>117</x:v>
      </x:c>
      <x:c r="G30" s="7" t="s">
        <x:v>181</x:v>
      </x:c>
      <x:c r="H30" s="47" t="str">
        <x:v>09161000</x:v>
      </x:c>
      <x:c r="I30" s="11" t="s">
        <x:v>182</x:v>
      </x:c>
      <x:c r="J30" s="11" t="n">
        <x:v>48.782288</x:v>
      </x:c>
      <x:c r="K30" s="11" t="n">
        <x:v>11.473339</x:v>
      </x:c>
      <x:c r="L30" s="7"/>
      <x:c r="M30" s="6" t="s">
        <x:v>183</x:v>
      </x:c>
      <x:c r="N30" s="12" t="s">
        <x:v>38</x:v>
      </x:c>
      <x:c r="O30" s="13" t="s">
        <x:v>184</x:v>
      </x:c>
    </x:row>
    <x:row r="31" ht="39.75" hidden="0" customHeight="1">
      <x:c r="A31" s="6" t="s">
        <x:v>185</x:v>
      </x:c>
      <x:c r="B31" s="6" t="s">
        <x:v>113</x:v>
      </x:c>
      <x:c r="C31" s="6" t="s">
        <x:v>114</x:v>
      </x:c>
      <x:c r="D31" s="7" t="s">
        <x:v>186</x:v>
      </x:c>
      <x:c r="E31" s="6" t="s">
        <x:v>116</x:v>
      </x:c>
      <x:c r="F31" s="6" t="s">
        <x:v>117</x:v>
      </x:c>
      <x:c r="G31" s="7" t="s">
        <x:v>181</x:v>
      </x:c>
      <x:c r="H31" s="47" t="str">
        <x:v>09161000</x:v>
      </x:c>
      <x:c r="I31" s="6" t="s">
        <x:v>187</x:v>
      </x:c>
      <x:c r="J31" s="6" t="n">
        <x:v>48.7718245</x:v>
      </x:c>
      <x:c r="K31" s="6" t="n">
        <x:v>11.3890705</x:v>
      </x:c>
      <x:c r="L31" s="7"/>
      <x:c r="M31" s="6" t="s">
        <x:v>188</x:v>
      </x:c>
      <x:c r="N31" s="9" t="s">
        <x:v>38</x:v>
      </x:c>
      <x:c r="O31" s="10"/>
    </x:row>
    <x:row r="32" ht="39.75" hidden="0" customHeight="1">
      <x:c r="A32" s="6" t="s">
        <x:v>189</x:v>
      </x:c>
      <x:c r="B32" s="6" t="s">
        <x:v>113</x:v>
      </x:c>
      <x:c r="C32" s="6" t="s">
        <x:v>114</x:v>
      </x:c>
      <x:c r="D32" s="7" t="s">
        <x:v>190</x:v>
      </x:c>
      <x:c r="E32" s="6" t="s">
        <x:v>147</x:v>
      </x:c>
      <x:c r="F32" s="6" t="s">
        <x:v>117</x:v>
      </x:c>
      <x:c r="G32" s="7" t="s">
        <x:v>191</x:v>
      </x:c>
      <x:c r="H32" s="47" t="str">
        <x:v>09186137</x:v>
      </x:c>
      <x:c r="I32" s="6" t="s">
        <x:v>192</x:v>
      </x:c>
      <x:c r="J32" s="6" t="n">
        <x:v>48.705947</x:v>
      </x:c>
      <x:c r="K32" s="6" t="n">
        <x:v>11.440754</x:v>
      </x:c>
      <x:c r="L32" s="7" t="n">
        <x:v>1000</x:v>
      </x:c>
      <x:c r="M32" s="6" t="s">
        <x:v>193</x:v>
      </x:c>
      <x:c r="N32" s="9" t="s">
        <x:v>83</x:v>
      </x:c>
      <x:c r="O32" s="10" t="s">
        <x:v>194</x:v>
      </x:c>
    </x:row>
    <x:row r="33" ht="39.75" hidden="0" customHeight="1">
      <x:c r="A33" s="6" t="s">
        <x:v>195</x:v>
      </x:c>
      <x:c r="B33" s="6" t="s">
        <x:v>113</x:v>
      </x:c>
      <x:c r="C33" s="6" t="s">
        <x:v>114</x:v>
      </x:c>
      <x:c r="D33" s="7" t="s">
        <x:v>196</x:v>
      </x:c>
      <x:c r="E33" s="6" t="s">
        <x:v>116</x:v>
      </x:c>
      <x:c r="F33" s="6" t="s">
        <x:v>117</x:v>
      </x:c>
      <x:c r="G33" s="7" t="s">
        <x:v>197</x:v>
      </x:c>
      <x:c r="H33" s="47" t="str">
        <x:v>09564000</x:v>
      </x:c>
      <x:c r="I33" s="6" t="s">
        <x:v>198</x:v>
      </x:c>
      <x:c r="J33" s="6" t="n">
        <x:v>49.423669</x:v>
      </x:c>
      <x:c r="K33" s="6" t="n">
        <x:v>11.133376</x:v>
      </x:c>
      <x:c r="L33" s="7"/>
      <x:c r="M33" s="6" t="s">
        <x:v>199</x:v>
      </x:c>
      <x:c r="N33" s="9" t="s">
        <x:v>83</x:v>
      </x:c>
      <x:c r="O33" s="10" t="s">
        <x:v>200</x:v>
      </x:c>
    </x:row>
    <x:row r="34" ht="39.75" hidden="0" customHeight="1">
      <x:c r="A34" s="6" t="s">
        <x:v>201</x:v>
      </x:c>
      <x:c r="B34" s="6" t="s">
        <x:v>113</x:v>
      </x:c>
      <x:c r="C34" s="6" t="s">
        <x:v>114</x:v>
      </x:c>
      <x:c r="D34" s="7" t="s">
        <x:v>202</x:v>
      </x:c>
      <x:c r="E34" s="6" t="s">
        <x:v>116</x:v>
      </x:c>
      <x:c r="F34" s="6" t="s">
        <x:v>117</x:v>
      </x:c>
      <x:c r="G34" s="7" t="s">
        <x:v>197</x:v>
      </x:c>
      <x:c r="H34" s="47" t="str">
        <x:v>09564000</x:v>
      </x:c>
      <x:c r="I34" s="6" t="s">
        <x:v>203</x:v>
      </x:c>
      <x:c r="J34" s="6" t="n">
        <x:v>49.409705</x:v>
      </x:c>
      <x:c r="K34" s="6" t="n">
        <x:v>11.124626</x:v>
      </x:c>
      <x:c r="L34" s="7"/>
      <x:c r="M34" s="6" t="s">
        <x:v>204</x:v>
      </x:c>
      <x:c r="N34" s="9" t="s">
        <x:v>83</x:v>
      </x:c>
      <x:c r="O34" s="10" t="s">
        <x:v>205</x:v>
      </x:c>
    </x:row>
    <x:row r="35" ht="39.75" hidden="0" customHeight="1">
      <x:c r="A35" s="6" t="s">
        <x:v>206</x:v>
      </x:c>
      <x:c r="B35" s="6" t="s">
        <x:v>113</x:v>
      </x:c>
      <x:c r="C35" s="6" t="s">
        <x:v>114</x:v>
      </x:c>
      <x:c r="D35" s="7" t="s">
        <x:v>207</x:v>
      </x:c>
      <x:c r="E35" s="6" t="s">
        <x:v>116</x:v>
      </x:c>
      <x:c r="F35" s="6" t="s">
        <x:v>117</x:v>
      </x:c>
      <x:c r="G35" s="7" t="s">
        <x:v>197</x:v>
      </x:c>
      <x:c r="H35" s="47" t="str">
        <x:v>09564000</x:v>
      </x:c>
      <x:c r="I35" s="6" t="s">
        <x:v>208</x:v>
      </x:c>
      <x:c r="J35" s="6" t="n">
        <x:v>49.407193</x:v>
      </x:c>
      <x:c r="K35" s="6" t="n">
        <x:v>11.0479958</x:v>
      </x:c>
      <x:c r="L35" s="7" t="n">
        <x:v>300</x:v>
      </x:c>
      <x:c r="M35" s="6" t="s">
        <x:v>209</x:v>
      </x:c>
      <x:c r="N35" s="9" t="s">
        <x:v>38</x:v>
      </x:c>
      <x:c r="O35" s="10"/>
    </x:row>
    <x:row r="36" ht="39.75" hidden="0" customHeight="1">
      <x:c r="A36" s="6" t="s">
        <x:v>210</x:v>
      </x:c>
      <x:c r="B36" s="6" t="s">
        <x:v>113</x:v>
      </x:c>
      <x:c r="C36" s="6" t="s">
        <x:v>114</x:v>
      </x:c>
      <x:c r="D36" s="7" t="s">
        <x:v>211</x:v>
      </x:c>
      <x:c r="E36" s="6" t="s">
        <x:v>116</x:v>
      </x:c>
      <x:c r="F36" s="6" t="s">
        <x:v>117</x:v>
      </x:c>
      <x:c r="G36" s="7" t="s">
        <x:v>212</x:v>
      </x:c>
      <x:c r="H36" s="47" t="str">
        <x:v>09162000</x:v>
      </x:c>
      <x:c r="I36" s="6" t="s">
        <x:v>213</x:v>
      </x:c>
      <x:c r="J36" s="6" t="n">
        <x:v>48.1330549</x:v>
      </x:c>
      <x:c r="K36" s="6" t="n">
        <x:v>11.662045</x:v>
      </x:c>
      <x:c r="L36" s="7" t="n">
        <x:v>350</x:v>
      </x:c>
      <x:c r="M36" s="6" t="s">
        <x:v>214</x:v>
      </x:c>
      <x:c r="N36" s="9" t="s">
        <x:v>38</x:v>
      </x:c>
      <x:c r="O36" s="10"/>
    </x:row>
    <x:row r="37" ht="39.75" hidden="0" customHeight="1">
      <x:c r="A37" s="6" t="s">
        <x:v>215</x:v>
      </x:c>
      <x:c r="B37" s="6" t="s">
        <x:v>113</x:v>
      </x:c>
      <x:c r="C37" s="6" t="s">
        <x:v>114</x:v>
      </x:c>
      <x:c r="D37" s="7" t="s">
        <x:v>216</x:v>
      </x:c>
      <x:c r="E37" s="6" t="s">
        <x:v>116</x:v>
      </x:c>
      <x:c r="F37" s="6" t="s">
        <x:v>117</x:v>
      </x:c>
      <x:c r="G37" s="7" t="s">
        <x:v>212</x:v>
      </x:c>
      <x:c r="H37" s="47" t="str">
        <x:v>09162000</x:v>
      </x:c>
      <x:c r="I37" s="6" t="s">
        <x:v>217</x:v>
      </x:c>
      <x:c r="J37" s="6" t="n">
        <x:v>48.1867669</x:v>
      </x:c>
      <x:c r="K37" s="6" t="n">
        <x:v>11.599225</x:v>
      </x:c>
      <x:c r="L37" s="7"/>
      <x:c r="M37" s="6" t="s">
        <x:v>218</x:v>
      </x:c>
      <x:c r="N37" s="9" t="s">
        <x:v>38</x:v>
      </x:c>
      <x:c r="O37" s="10"/>
    </x:row>
    <x:row r="38" ht="39.75" hidden="0" customHeight="1">
      <x:c r="A38" s="6" t="s">
        <x:v>219</x:v>
      </x:c>
      <x:c r="B38" s="6" t="s">
        <x:v>113</x:v>
      </x:c>
      <x:c r="C38" s="6" t="s">
        <x:v>114</x:v>
      </x:c>
      <x:c r="D38" s="7" t="s">
        <x:v>220</x:v>
      </x:c>
      <x:c r="E38" s="6" t="s">
        <x:v>221</x:v>
      </x:c>
      <x:c r="F38" s="6" t="s">
        <x:v>117</x:v>
      </x:c>
      <x:c r="G38" s="7" t="s">
        <x:v>212</x:v>
      </x:c>
      <x:c r="H38" s="47" t="str">
        <x:v>09162000</x:v>
      </x:c>
      <x:c r="I38" s="6" t="s">
        <x:v>222</x:v>
      </x:c>
      <x:c r="J38" s="6" t="n">
        <x:v>48.1697997</x:v>
      </x:c>
      <x:c r="K38" s="6" t="n">
        <x:v>11.6459991</x:v>
      </x:c>
      <x:c r="L38" s="7" t="n">
        <x:v>300</x:v>
      </x:c>
      <x:c r="M38" s="6" t="s">
        <x:v>223</x:v>
      </x:c>
      <x:c r="N38" s="9" t="s">
        <x:v>38</x:v>
      </x:c>
      <x:c r="O38" s="10"/>
    </x:row>
    <x:row r="39" ht="39.75" hidden="0" customHeight="1">
      <x:c r="A39" s="6" t="s">
        <x:v>224</x:v>
      </x:c>
      <x:c r="B39" s="6" t="s">
        <x:v>113</x:v>
      </x:c>
      <x:c r="C39" s="6" t="s">
        <x:v>114</x:v>
      </x:c>
      <x:c r="D39" s="7" t="s">
        <x:v>225</x:v>
      </x:c>
      <x:c r="E39" s="6" t="s">
        <x:v>147</x:v>
      </x:c>
      <x:c r="F39" s="6" t="s">
        <x:v>117</x:v>
      </x:c>
      <x:c r="G39" s="7" t="s">
        <x:v>226</x:v>
      </x:c>
      <x:c r="H39" s="47" t="str">
        <x:v>09362000</x:v>
      </x:c>
      <x:c r="I39" s="6" t="s">
        <x:v>227</x:v>
      </x:c>
      <x:c r="J39" s="6" t="n">
        <x:v>48.9985</x:v>
      </x:c>
      <x:c r="K39" s="6" t="n">
        <x:v>12.1212</x:v>
      </x:c>
      <x:c r="L39" s="7" t="n">
        <x:v>600</x:v>
      </x:c>
      <x:c r="M39" s="6" t="s">
        <x:v>228</x:v>
      </x:c>
      <x:c r="N39" s="9" t="s">
        <x:v>38</x:v>
      </x:c>
      <x:c r="O39" s="10"/>
    </x:row>
    <x:row r="40" ht="39.75" hidden="0" customHeight="1">
      <x:c r="A40" s="6" t="s">
        <x:v>229</x:v>
      </x:c>
      <x:c r="B40" s="6" t="s">
        <x:v>113</x:v>
      </x:c>
      <x:c r="C40" s="6" t="s">
        <x:v>114</x:v>
      </x:c>
      <x:c r="D40" s="7" t="s">
        <x:v>230</x:v>
      </x:c>
      <x:c r="E40" s="6" t="s">
        <x:v>147</x:v>
      </x:c>
      <x:c r="F40" s="6" t="s">
        <x:v>117</x:v>
      </x:c>
      <x:c r="G40" s="7" t="s">
        <x:v>231</x:v>
      </x:c>
      <x:c r="H40" s="47" t="str">
        <x:v>09678160</x:v>
      </x:c>
      <x:c r="I40" s="6" t="s">
        <x:v>232</x:v>
      </x:c>
      <x:c r="J40" s="6" t="n">
        <x:v>50.065</x:v>
      </x:c>
      <x:c r="K40" s="6" t="n">
        <x:v>10.155</x:v>
      </x:c>
      <x:c r="L40" s="7" t="n">
        <x:v>1500</x:v>
      </x:c>
      <x:c r="M40" s="6" t="s">
        <x:v>233</x:v>
      </x:c>
      <x:c r="N40" s="9" t="s">
        <x:v>49</x:v>
      </x:c>
      <x:c r="O40" s="10"/>
    </x:row>
    <x:row r="41" ht="39.75" hidden="0" customHeight="1">
      <x:c r="A41" s="6" t="s">
        <x:v>234</x:v>
      </x:c>
      <x:c r="B41" s="6" t="s">
        <x:v>113</x:v>
      </x:c>
      <x:c r="C41" s="6" t="s">
        <x:v>114</x:v>
      </x:c>
      <x:c r="D41" s="7" t="s">
        <x:v>235</x:v>
      </x:c>
      <x:c r="E41" s="6" t="s">
        <x:v>147</x:v>
      </x:c>
      <x:c r="F41" s="6" t="s">
        <x:v>117</x:v>
      </x:c>
      <x:c r="G41" s="7" t="s">
        <x:v>236</x:v>
      </x:c>
      <x:c r="H41" s="47" t="str">
        <x:v>09573134</x:v>
      </x:c>
      <x:c r="I41" s="6" t="s">
        <x:v>237</x:v>
      </x:c>
      <x:c r="J41" s="6" t="n">
        <x:v>49.433341</x:v>
      </x:c>
      <x:c r="K41" s="6" t="n">
        <x:v>10.95307</x:v>
      </x:c>
      <x:c r="L41" s="7"/>
      <x:c r="M41" s="6" t="s">
        <x:v>238</x:v>
      </x:c>
      <x:c r="N41" s="9" t="s">
        <x:v>38</x:v>
      </x:c>
      <x:c r="O41" s="10" t="s">
        <x:v>239</x:v>
      </x:c>
    </x:row>
    <x:row r="42" ht="39.75" hidden="0" customHeight="1">
      <x:c r="A42" s="6" t="s">
        <x:v>240</x:v>
      </x:c>
      <x:c r="B42" s="6" t="s">
        <x:v>241</x:v>
      </x:c>
      <x:c r="C42" s="6" t="s">
        <x:v>242</x:v>
      </x:c>
      <x:c r="D42" s="7" t="s">
        <x:v>243</x:v>
      </x:c>
      <x:c r="E42" s="6" t="s">
        <x:v>244</x:v>
      </x:c>
      <x:c r="F42" s="6" t="s">
        <x:v>245</x:v>
      </x:c>
      <x:c r="G42" s="7" t="s">
        <x:v>242</x:v>
      </x:c>
      <x:c r="H42" s="47" t="str">
        <x:v>04011000</x:v>
      </x:c>
      <x:c r="I42" s="6" t="s">
        <x:v>246</x:v>
      </x:c>
      <x:c r="J42" s="6" t="n">
        <x:v>53.177579</x:v>
      </x:c>
      <x:c r="K42" s="6" t="n">
        <x:v>8.593735</x:v>
      </x:c>
      <x:c r="L42" s="7" t="n">
        <x:v>621</x:v>
      </x:c>
      <x:c r="M42" s="6" t="s">
        <x:v>247</x:v>
      </x:c>
      <x:c r="N42" s="9" t="s">
        <x:v>38</x:v>
      </x:c>
      <x:c r="O42" s="10" t="s">
        <x:v>248</x:v>
      </x:c>
    </x:row>
    <x:row r="43" ht="39.75" hidden="0" customHeight="1">
      <x:c r="A43" s="6" t="s">
        <x:v>249</x:v>
      </x:c>
      <x:c r="B43" s="6" t="s">
        <x:v>250</x:v>
      </x:c>
      <x:c r="C43" s="6" t="s">
        <x:v>251</x:v>
      </x:c>
      <x:c r="D43" s="7" t="s">
        <x:v>252</x:v>
      </x:c>
      <x:c r="E43" s="6" t="s">
        <x:v>19</x:v>
      </x:c>
      <x:c r="F43" s="6" t="s">
        <x:v>253</x:v>
      </x:c>
      <x:c r="G43" s="7" t="s">
        <x:v>254</x:v>
      </x:c>
      <x:c r="H43" s="47" t="str">
        <x:v>06440004</x:v>
      </x:c>
      <x:c r="I43" s="6" t="s">
        <x:v>255</x:v>
      </x:c>
      <x:c r="J43" s="6" t="n">
        <x:v>50.28595</x:v>
      </x:c>
      <x:c r="K43" s="6" t="n">
        <x:v>9.070682</x:v>
      </x:c>
      <x:c r="L43" s="7" t="n">
        <x:v>800</x:v>
      </x:c>
      <x:c r="M43" s="6" t="s">
        <x:v>256</x:v>
      </x:c>
      <x:c r="N43" s="9" t="s">
        <x:v>38</x:v>
      </x:c>
      <x:c r="O43" s="10" t="s">
        <x:v>257</x:v>
      </x:c>
    </x:row>
    <x:row r="44" ht="39.75" hidden="0" customHeight="1">
      <x:c r="A44" s="6" t="s">
        <x:v>258</x:v>
      </x:c>
      <x:c r="B44" s="6" t="s">
        <x:v>250</x:v>
      </x:c>
      <x:c r="C44" s="6" t="s">
        <x:v>251</x:v>
      </x:c>
      <x:c r="D44" s="7" t="s">
        <x:v>259</x:v>
      </x:c>
      <x:c r="E44" s="6" t="s">
        <x:v>260</x:v>
      </x:c>
      <x:c r="F44" s="6" t="s">
        <x:v>253</x:v>
      </x:c>
      <x:c r="G44" s="7" t="s">
        <x:v>261</x:v>
      </x:c>
      <x:c r="H44" s="47" t="str">
        <x:v>06633009</x:v>
      </x:c>
      <x:c r="I44" s="6" t="s">
        <x:v>262</x:v>
      </x:c>
      <x:c r="J44" s="6" t="n">
        <x:v>51.3860625</x:v>
      </x:c>
      <x:c r="K44" s="6" t="n">
        <x:v>9.5435625</x:v>
      </x:c>
      <x:c r="L44" s="7" t="n">
        <x:v>600</x:v>
      </x:c>
      <x:c r="M44" s="6" t="s">
        <x:v>263</x:v>
      </x:c>
      <x:c r="N44" s="9" t="s">
        <x:v>49</x:v>
      </x:c>
      <x:c r="O44" s="10"/>
    </x:row>
    <x:row r="45" ht="39.75" hidden="0" customHeight="1">
      <x:c r="A45" s="6" t="s">
        <x:v>264</x:v>
      </x:c>
      <x:c r="B45" s="6" t="s">
        <x:v>250</x:v>
      </x:c>
      <x:c r="C45" s="6" t="s">
        <x:v>251</x:v>
      </x:c>
      <x:c r="D45" s="7" t="s">
        <x:v>265</x:v>
      </x:c>
      <x:c r="E45" s="6" t="s">
        <x:v>19</x:v>
      </x:c>
      <x:c r="F45" s="6" t="s">
        <x:v>253</x:v>
      </x:c>
      <x:c r="G45" s="7" t="s">
        <x:v>266</x:v>
      </x:c>
      <x:c r="H45" s="47" t="str">
        <x:v>06534016</x:v>
      </x:c>
      <x:c r="I45" s="6" t="s">
        <x:v>267</x:v>
      </x:c>
      <x:c r="J45" s="6" t="n">
        <x:v>50.838959</x:v>
      </x:c>
      <x:c r="K45" s="6" t="n">
        <x:v>9.100873</x:v>
      </x:c>
      <x:c r="L45" s="7" t="n">
        <x:v>800</x:v>
      </x:c>
      <x:c r="M45" s="6" t="s">
        <x:v>268</x:v>
      </x:c>
      <x:c r="N45" s="9" t="s">
        <x:v>38</x:v>
      </x:c>
      <x:c r="O45" s="10" t="s">
        <x:v>269</x:v>
      </x:c>
    </x:row>
    <x:row r="46" ht="39.75" hidden="0" customHeight="1">
      <x:c r="A46" s="6" t="s">
        <x:v>270</x:v>
      </x:c>
      <x:c r="B46" s="6" t="s">
        <x:v>250</x:v>
      </x:c>
      <x:c r="C46" s="6" t="s">
        <x:v>251</x:v>
      </x:c>
      <x:c r="D46" s="7" t="s">
        <x:v>271</x:v>
      </x:c>
      <x:c r="E46" s="6" t="s">
        <x:v>272</x:v>
      </x:c>
      <x:c r="F46" s="6" t="s">
        <x:v>253</x:v>
      </x:c>
      <x:c r="G46" s="7" t="s">
        <x:v>273</x:v>
      </x:c>
      <x:c r="H46" s="47" t="str">
        <x:v>06531005</x:v>
      </x:c>
      <x:c r="I46" s="6" t="s">
        <x:v>274</x:v>
      </x:c>
      <x:c r="J46" s="6" t="n">
        <x:v>50.589792</x:v>
      </x:c>
      <x:c r="K46" s="6" t="n">
        <x:v>8.716754</x:v>
      </x:c>
      <x:c r="L46" s="7"/>
      <x:c r="M46" s="6" t="s">
        <x:v>275</x:v>
      </x:c>
      <x:c r="N46" s="9" t="s">
        <x:v>83</x:v>
      </x:c>
      <x:c r="O46" s="10" t="s">
        <x:v>276</x:v>
      </x:c>
    </x:row>
    <x:row r="47" ht="39.75" hidden="0" customHeight="1">
      <x:c r="A47" s="6" t="s">
        <x:v>277</x:v>
      </x:c>
      <x:c r="B47" s="6" t="s">
        <x:v>250</x:v>
      </x:c>
      <x:c r="C47" s="6" t="s">
        <x:v>251</x:v>
      </x:c>
      <x:c r="D47" s="7" t="s">
        <x:v>278</x:v>
      </x:c>
      <x:c r="E47" s="6" t="s">
        <x:v>279</x:v>
      </x:c>
      <x:c r="F47" s="6" t="s">
        <x:v>253</x:v>
      </x:c>
      <x:c r="G47" s="7" t="s">
        <x:v>280</x:v>
      </x:c>
      <x:c r="H47" s="47" t="str">
        <x:v>06611000</x:v>
      </x:c>
      <x:c r="I47" s="14" t="s">
        <x:v>281</x:v>
      </x:c>
      <x:c r="J47" s="6" t="n">
        <x:v>51.2759147</x:v>
      </x:c>
      <x:c r="K47" s="6" t="n">
        <x:v>9.4632206</x:v>
      </x:c>
      <x:c r="L47" s="7"/>
      <x:c r="M47" s="6" t="s">
        <x:v>282</x:v>
      </x:c>
      <x:c r="N47" s="9" t="s">
        <x:v>38</x:v>
      </x:c>
      <x:c r="O47" s="10"/>
    </x:row>
    <x:row r="48" ht="39.75" hidden="0" customHeight="1">
      <x:c r="A48" s="6" t="s">
        <x:v>283</x:v>
      </x:c>
      <x:c r="B48" s="6" t="s">
        <x:v>284</x:v>
      </x:c>
      <x:c r="C48" s="6" t="s">
        <x:v>285</x:v>
      </x:c>
      <x:c r="D48" s="7" t="s">
        <x:v>286</x:v>
      </x:c>
      <x:c r="E48" s="6" t="s">
        <x:v>287</x:v>
      </x:c>
      <x:c r="F48" s="6" t="s">
        <x:v>288</x:v>
      </x:c>
      <x:c r="G48" s="7" t="s">
        <x:v>289</x:v>
      </x:c>
      <x:c r="H48" s="47" t="str">
        <x:v>02000000</x:v>
      </x:c>
      <x:c r="I48" s="14" t="s">
        <x:v>290</x:v>
      </x:c>
      <x:c r="J48" s="6" t="n">
        <x:v>53.4541139</x:v>
      </x:c>
      <x:c r="K48" s="6" t="n">
        <x:v>9.9591109</x:v>
      </x:c>
      <x:c r="L48" s="7" t="n">
        <x:v>100</x:v>
      </x:c>
      <x:c r="M48" s="6" t="s">
        <x:v>291</x:v>
      </x:c>
      <x:c r="N48" s="9" t="s">
        <x:v>38</x:v>
      </x:c>
      <x:c r="O48" s="10"/>
    </x:row>
    <x:row r="49" ht="39.75" hidden="0" customHeight="1">
      <x:c r="A49" s="6" t="s">
        <x:v>292</x:v>
      </x:c>
      <x:c r="B49" s="6" t="s">
        <x:v>284</x:v>
      </x:c>
      <x:c r="C49" s="6" t="s">
        <x:v>285</x:v>
      </x:c>
      <x:c r="D49" s="7" t="s">
        <x:v>293</x:v>
      </x:c>
      <x:c r="E49" s="6" t="s">
        <x:v>58</x:v>
      </x:c>
      <x:c r="F49" s="6" t="s">
        <x:v>288</x:v>
      </x:c>
      <x:c r="G49" s="7" t="s">
        <x:v>294</x:v>
      </x:c>
      <x:c r="H49" s="47" t="str">
        <x:v>02000000</x:v>
      </x:c>
      <x:c r="I49" s="14" t="s">
        <x:v>295</x:v>
      </x:c>
      <x:c r="J49" s="6" t="n">
        <x:v>53.4559306</x:v>
      </x:c>
      <x:c r="K49" s="6" t="n">
        <x:v>9.9943781</x:v>
      </x:c>
      <x:c r="L49" s="7" t="n">
        <x:v>420</x:v>
      </x:c>
      <x:c r="M49" s="6" t="s">
        <x:v>296</x:v>
      </x:c>
      <x:c r="N49" s="9" t="s">
        <x:v>38</x:v>
      </x:c>
      <x:c r="O49" s="10"/>
    </x:row>
    <x:row r="50" ht="39.75" hidden="0" customHeight="1">
      <x:c r="A50" s="6" t="s">
        <x:v>297</x:v>
      </x:c>
      <x:c r="B50" s="6" t="s">
        <x:v>284</x:v>
      </x:c>
      <x:c r="C50" s="6" t="s">
        <x:v>285</x:v>
      </x:c>
      <x:c r="D50" s="7" t="s">
        <x:v>298</x:v>
      </x:c>
      <x:c r="E50" s="6" t="s">
        <x:v>299</x:v>
      </x:c>
      <x:c r="F50" s="6" t="s">
        <x:v>288</x:v>
      </x:c>
      <x:c r="G50" s="7" t="s">
        <x:v>300</x:v>
      </x:c>
      <x:c r="H50" s="47" t="str">
        <x:v>02000000</x:v>
      </x:c>
      <x:c r="I50" s="14" t="s">
        <x:v>301</x:v>
      </x:c>
      <x:c r="J50" s="6" t="n">
        <x:v>53.5645215</x:v>
      </x:c>
      <x:c r="K50" s="6" t="n">
        <x:v>9.9408412</x:v>
      </x:c>
      <x:c r="L50" s="7" t="n">
        <x:v>150</x:v>
      </x:c>
      <x:c r="M50" s="6" t="s">
        <x:v>302</x:v>
      </x:c>
      <x:c r="N50" s="9" t="s">
        <x:v>38</x:v>
      </x:c>
      <x:c r="O50" s="10"/>
    </x:row>
    <x:row r="51" ht="39.75" hidden="0" customHeight="1">
      <x:c r="A51" s="6" t="s">
        <x:v>303</x:v>
      </x:c>
      <x:c r="B51" s="6" t="s">
        <x:v>284</x:v>
      </x:c>
      <x:c r="C51" s="6" t="s">
        <x:v>285</x:v>
      </x:c>
      <x:c r="D51" s="7" t="s">
        <x:v>304</x:v>
      </x:c>
      <x:c r="E51" s="6" t="s">
        <x:v>58</x:v>
      </x:c>
      <x:c r="F51" s="6" t="s">
        <x:v>288</x:v>
      </x:c>
      <x:c r="G51" s="7" t="s">
        <x:v>305</x:v>
      </x:c>
      <x:c r="H51" s="47" t="str">
        <x:v>02000000</x:v>
      </x:c>
      <x:c r="I51" s="14" t="s">
        <x:v>306</x:v>
      </x:c>
      <x:c r="J51" s="6" t="n">
        <x:v>53.6102357</x:v>
      </x:c>
      <x:c r="K51" s="6" t="n">
        <x:v>10.1872793</x:v>
      </x:c>
      <x:c r="L51" s="7" t="n">
        <x:v>600</x:v>
      </x:c>
      <x:c r="M51" s="6" t="s">
        <x:v>307</x:v>
      </x:c>
      <x:c r="N51" s="9" t="s">
        <x:v>38</x:v>
      </x:c>
      <x:c r="O51" s="10"/>
    </x:row>
    <x:row r="52" ht="39.75" hidden="0" customHeight="1">
      <x:c r="A52" s="6" t="s">
        <x:v>308</x:v>
      </x:c>
      <x:c r="B52" s="6" t="s">
        <x:v>284</x:v>
      </x:c>
      <x:c r="C52" s="6" t="s">
        <x:v>285</x:v>
      </x:c>
      <x:c r="D52" s="7" t="s">
        <x:v>309</x:v>
      </x:c>
      <x:c r="E52" s="6" t="s">
        <x:v>58</x:v>
      </x:c>
      <x:c r="F52" s="6" t="s">
        <x:v>288</x:v>
      </x:c>
      <x:c r="G52" s="7" t="s">
        <x:v>310</x:v>
      </x:c>
      <x:c r="H52" s="47" t="str">
        <x:v>02000000</x:v>
      </x:c>
      <x:c r="I52" s="14" t="s">
        <x:v>311</x:v>
      </x:c>
      <x:c r="J52" s="6" t="n">
        <x:v>53.6187137</x:v>
      </x:c>
      <x:c r="K52" s="6" t="n">
        <x:v>10.0010928</x:v>
      </x:c>
      <x:c r="L52" s="7" t="n">
        <x:v>324</x:v>
      </x:c>
      <x:c r="M52" s="6" t="s">
        <x:v>312</x:v>
      </x:c>
      <x:c r="N52" s="9" t="s">
        <x:v>38</x:v>
      </x:c>
      <x:c r="O52" s="10"/>
    </x:row>
    <x:row r="53" ht="39.75" hidden="0" customHeight="1">
      <x:c r="A53" s="6" t="s">
        <x:v>313</x:v>
      </x:c>
      <x:c r="B53" s="6" t="s">
        <x:v>284</x:v>
      </x:c>
      <x:c r="C53" s="6" t="s">
        <x:v>285</x:v>
      </x:c>
      <x:c r="D53" s="7" t="s">
        <x:v>314</x:v>
      </x:c>
      <x:c r="E53" s="6" t="s">
        <x:v>58</x:v>
      </x:c>
      <x:c r="F53" s="6" t="s">
        <x:v>288</x:v>
      </x:c>
      <x:c r="G53" s="7" t="s">
        <x:v>315</x:v>
      </x:c>
      <x:c r="H53" s="47" t="str">
        <x:v>02000000</x:v>
      </x:c>
      <x:c r="I53" s="14" t="s">
        <x:v>316</x:v>
      </x:c>
      <x:c r="J53" s="6" t="n">
        <x:v>53.6107448</x:v>
      </x:c>
      <x:c r="K53" s="6" t="n">
        <x:v>9.9498436</x:v>
      </x:c>
      <x:c r="L53" s="7" t="n">
        <x:v>999</x:v>
      </x:c>
      <x:c r="M53" s="6" t="s">
        <x:v>307</x:v>
      </x:c>
      <x:c r="N53" s="9" t="s">
        <x:v>38</x:v>
      </x:c>
      <x:c r="O53" s="10"/>
    </x:row>
    <x:row r="54" ht="39.75" hidden="0" customHeight="1">
      <x:c r="A54" s="6" t="s">
        <x:v>317</x:v>
      </x:c>
      <x:c r="B54" s="6" t="s">
        <x:v>284</x:v>
      </x:c>
      <x:c r="C54" s="6" t="s">
        <x:v>285</x:v>
      </x:c>
      <x:c r="D54" s="7" t="s">
        <x:v>318</x:v>
      </x:c>
      <x:c r="E54" s="6" t="s">
        <x:v>58</x:v>
      </x:c>
      <x:c r="F54" s="6" t="s">
        <x:v>288</x:v>
      </x:c>
      <x:c r="G54" s="7" t="s">
        <x:v>315</x:v>
      </x:c>
      <x:c r="H54" s="47" t="str">
        <x:v>02000000</x:v>
      </x:c>
      <x:c r="I54" s="14" t="s">
        <x:v>319</x:v>
      </x:c>
      <x:c r="J54" s="6" t="n">
        <x:v>53.610759</x:v>
      </x:c>
      <x:c r="K54" s="6" t="n">
        <x:v>9.949182</x:v>
      </x:c>
      <x:c r="L54" s="7" t="n">
        <x:v>740</x:v>
      </x:c>
      <x:c r="M54" s="6" t="s">
        <x:v>307</x:v>
      </x:c>
      <x:c r="N54" s="9" t="s">
        <x:v>38</x:v>
      </x:c>
      <x:c r="O54" s="10" t="s">
        <x:v>320</x:v>
      </x:c>
    </x:row>
    <x:row r="55" ht="39.75" hidden="0" customHeight="1">
      <x:c r="A55" s="6" t="s">
        <x:v>321</x:v>
      </x:c>
      <x:c r="B55" s="6" t="s">
        <x:v>322</x:v>
      </x:c>
      <x:c r="C55" s="6" t="s">
        <x:v>323</x:v>
      </x:c>
      <x:c r="D55" s="7" t="s">
        <x:v>324</x:v>
      </x:c>
      <x:c r="E55" s="6" t="s">
        <x:v>244</x:v>
      </x:c>
      <x:c r="F55" s="6" t="s">
        <x:v>325</x:v>
      </x:c>
      <x:c r="G55" s="7" t="s">
        <x:v>326</x:v>
      </x:c>
      <x:c r="H55" s="47" t="str">
        <x:v>13076106</x:v>
      </x:c>
      <x:c r="I55" s="14" t="s">
        <x:v>327</x:v>
      </x:c>
      <x:c r="J55" s="6" t="n">
        <x:v>53.376103</x:v>
      </x:c>
      <x:c r="K55" s="6" t="n">
        <x:v>10.633324</x:v>
      </x:c>
      <x:c r="L55" s="7"/>
      <x:c r="M55" s="6" t="s">
        <x:v>328</x:v>
      </x:c>
      <x:c r="N55" s="9" t="s">
        <x:v>38</x:v>
      </x:c>
      <x:c r="O55" s="10" t="s">
        <x:v>329</x:v>
      </x:c>
    </x:row>
    <x:row r="56" ht="39.75" hidden="0" customHeight="1">
      <x:c r="A56" s="6" t="s">
        <x:v>330</x:v>
      </x:c>
      <x:c r="B56" s="6" t="s">
        <x:v>322</x:v>
      </x:c>
      <x:c r="C56" s="6" t="s">
        <x:v>323</x:v>
      </x:c>
      <x:c r="D56" s="7" t="s">
        <x:v>331</x:v>
      </x:c>
      <x:c r="E56" s="6" t="s">
        <x:v>244</x:v>
      </x:c>
      <x:c r="F56" s="6" t="s">
        <x:v>325</x:v>
      </x:c>
      <x:c r="G56" s="7" t="s">
        <x:v>332</x:v>
      </x:c>
      <x:c r="H56" s="47" t="str">
        <x:v>13004000</x:v>
      </x:c>
      <x:c r="I56" s="14" t="s">
        <x:v>333</x:v>
      </x:c>
      <x:c r="J56" s="6" t="n">
        <x:v>53.5648775</x:v>
      </x:c>
      <x:c r="K56" s="6" t="n">
        <x:v>11.4474038</x:v>
      </x:c>
      <x:c r="L56" s="7" t="n">
        <x:v>770</x:v>
      </x:c>
      <x:c r="M56" s="6" t="s">
        <x:v>334</x:v>
      </x:c>
      <x:c r="N56" s="9" t="s">
        <x:v>38</x:v>
      </x:c>
      <x:c r="O56" s="10"/>
    </x:row>
    <x:row r="57" ht="39.75" hidden="0" customHeight="1">
      <x:c r="A57" s="6" t="s">
        <x:v>335</x:v>
      </x:c>
      <x:c r="B57" s="6" t="s">
        <x:v>336</x:v>
      </x:c>
      <x:c r="C57" s="6" t="s">
        <x:v>337</x:v>
      </x:c>
      <x:c r="D57" s="7" t="s">
        <x:v>338</x:v>
      </x:c>
      <x:c r="E57" s="6" t="s">
        <x:v>339</x:v>
      </x:c>
      <x:c r="F57" s="6" t="s">
        <x:v>340</x:v>
      </x:c>
      <x:c r="G57" s="7" t="s">
        <x:v>341</x:v>
      </x:c>
      <x:c r="H57" s="47" t="str">
        <x:v>03351006</x:v>
      </x:c>
      <x:c r="I57" s="6" t="s">
        <x:v>342</x:v>
      </x:c>
      <x:c r="J57" s="6" t="n">
        <x:v>52.6396271</x:v>
      </x:c>
      <x:c r="K57" s="6" t="n">
        <x:v>10.0851674</x:v>
      </x:c>
      <x:c r="L57" s="7" t="n">
        <x:v>250</x:v>
      </x:c>
      <x:c r="M57" s="6" t="s">
        <x:v>343</x:v>
      </x:c>
      <x:c r="N57" s="9" t="s">
        <x:v>38</x:v>
      </x:c>
      <x:c r="O57" s="10"/>
    </x:row>
    <x:row r="58" ht="39.75" hidden="0" customHeight="1">
      <x:c r="A58" s="6" t="s">
        <x:v>344</x:v>
      </x:c>
      <x:c r="B58" s="6" t="s">
        <x:v>336</x:v>
      </x:c>
      <x:c r="C58" s="6" t="s">
        <x:v>337</x:v>
      </x:c>
      <x:c r="D58" s="7" t="s">
        <x:v>345</x:v>
      </x:c>
      <x:c r="E58" s="6" t="s">
        <x:v>346</x:v>
      </x:c>
      <x:c r="F58" s="6" t="s">
        <x:v>340</x:v>
      </x:c>
      <x:c r="G58" s="7" t="s">
        <x:v>347</x:v>
      </x:c>
      <x:c r="H58" s="47" t="str">
        <x:v>03459014</x:v>
      </x:c>
      <x:c r="I58" s="6" t="s">
        <x:v>348</x:v>
      </x:c>
      <x:c r="J58" s="6" t="n">
        <x:v>52.448175</x:v>
      </x:c>
      <x:c r="K58" s="6" t="n">
        <x:v>7.950158</x:v>
      </x:c>
      <x:c r="L58" s="7" t="n">
        <x:v>1020</x:v>
      </x:c>
      <x:c r="M58" s="6" t="s">
        <x:v>349</x:v>
      </x:c>
      <x:c r="N58" s="9" t="s">
        <x:v>38</x:v>
      </x:c>
      <x:c r="O58" s="10" t="s">
        <x:v>350</x:v>
      </x:c>
    </x:row>
    <x:row r="59" ht="39.75" hidden="0" customHeight="1">
      <x:c r="A59" s="6" t="s">
        <x:v>351</x:v>
      </x:c>
      <x:c r="B59" s="6" t="s">
        <x:v>336</x:v>
      </x:c>
      <x:c r="C59" s="6" t="s">
        <x:v>337</x:v>
      </x:c>
      <x:c r="D59" s="7" t="s">
        <x:v>352</x:v>
      </x:c>
      <x:c r="E59" s="6" t="s">
        <x:v>353</x:v>
      </x:c>
      <x:c r="F59" s="6" t="s">
        <x:v>340</x:v>
      </x:c>
      <x:c r="G59" s="7" t="s">
        <x:v>354</x:v>
      </x:c>
      <x:c r="H59" s="47" t="str">
        <x:v>03101000</x:v>
      </x:c>
      <x:c r="I59" s="6" t="s">
        <x:v>355</x:v>
      </x:c>
      <x:c r="J59" s="6" t="n">
        <x:v>52.307349</x:v>
      </x:c>
      <x:c r="K59" s="6" t="n">
        <x:v>10.548291</x:v>
      </x:c>
      <x:c r="L59" s="7" t="n">
        <x:v>884</x:v>
      </x:c>
      <x:c r="M59" s="6" t="s">
        <x:v>356</x:v>
      </x:c>
      <x:c r="N59" s="9" t="s">
        <x:v>38</x:v>
      </x:c>
      <x:c r="O59" s="10" t="s">
        <x:v>357</x:v>
      </x:c>
    </x:row>
    <x:row r="60" ht="39.75" hidden="0" customHeight="1">
      <x:c r="A60" s="6" t="s">
        <x:v>358</x:v>
      </x:c>
      <x:c r="B60" s="6" t="s">
        <x:v>336</x:v>
      </x:c>
      <x:c r="C60" s="6" t="s">
        <x:v>337</x:v>
      </x:c>
      <x:c r="D60" s="7" t="s">
        <x:v>359</x:v>
      </x:c>
      <x:c r="E60" s="6" t="s">
        <x:v>353</x:v>
      </x:c>
      <x:c r="F60" s="6" t="s">
        <x:v>340</x:v>
      </x:c>
      <x:c r="G60" s="7" t="s">
        <x:v>360</x:v>
      </x:c>
      <x:c r="H60" s="47" t="str">
        <x:v>03159013</x:v>
      </x:c>
      <x:c r="I60" s="6" t="s">
        <x:v>361</x:v>
      </x:c>
      <x:c r="J60" s="6" t="n">
        <x:v>51.422158</x:v>
      </x:c>
      <x:c r="K60" s="6" t="n">
        <x:v>9.905694</x:v>
      </x:c>
      <x:c r="L60" s="7" t="n">
        <x:v>792</x:v>
      </x:c>
      <x:c r="M60" s="6" t="s">
        <x:v>356</x:v>
      </x:c>
      <x:c r="N60" s="9" t="s">
        <x:v>38</x:v>
      </x:c>
      <x:c r="O60" s="10" t="s">
        <x:v>362</x:v>
      </x:c>
    </x:row>
    <x:row r="61" ht="39.75" hidden="0" customHeight="1">
      <x:c r="A61" s="6" t="s">
        <x:v>363</x:v>
      </x:c>
      <x:c r="B61" s="6" t="s">
        <x:v>336</x:v>
      </x:c>
      <x:c r="C61" s="6" t="s">
        <x:v>337</x:v>
      </x:c>
      <x:c r="D61" s="7" t="s">
        <x:v>364</x:v>
      </x:c>
      <x:c r="E61" s="6" t="s">
        <x:v>353</x:v>
      </x:c>
      <x:c r="F61" s="6" t="s">
        <x:v>340</x:v>
      </x:c>
      <x:c r="G61" s="7" t="s">
        <x:v>365</x:v>
      </x:c>
      <x:c r="H61" s="47" t="str">
        <x:v>03403000</x:v>
      </x:c>
      <x:c r="I61" s="6" t="s">
        <x:v>366</x:v>
      </x:c>
      <x:c r="J61" s="6" t="n">
        <x:v>53.150219</x:v>
      </x:c>
      <x:c r="K61" s="6" t="n">
        <x:v>8.284292</x:v>
      </x:c>
      <x:c r="L61" s="7" t="n">
        <x:v>516</x:v>
      </x:c>
      <x:c r="M61" s="6" t="s">
        <x:v>356</x:v>
      </x:c>
      <x:c r="N61" s="9" t="s">
        <x:v>83</x:v>
      </x:c>
      <x:c r="O61" s="10" t="s">
        <x:v>367</x:v>
      </x:c>
    </x:row>
    <x:row r="62" ht="39.75" hidden="0" customHeight="1">
      <x:c r="A62" s="6" t="s">
        <x:v>368</x:v>
      </x:c>
      <x:c r="B62" s="6" t="s">
        <x:v>336</x:v>
      </x:c>
      <x:c r="C62" s="6" t="s">
        <x:v>337</x:v>
      </x:c>
      <x:c r="D62" s="7" t="s">
        <x:v>369</x:v>
      </x:c>
      <x:c r="E62" s="6" t="s">
        <x:v>353</x:v>
      </x:c>
      <x:c r="F62" s="6" t="s">
        <x:v>340</x:v>
      </x:c>
      <x:c r="G62" s="7" t="s">
        <x:v>370</x:v>
      </x:c>
      <x:c r="H62" s="47" t="str">
        <x:v>03404000</x:v>
      </x:c>
      <x:c r="I62" s="6" t="s">
        <x:v>371</x:v>
      </x:c>
      <x:c r="J62" s="6" t="n">
        <x:v>52.2911365</x:v>
      </x:c>
      <x:c r="K62" s="6" t="n">
        <x:v>8.0040166</x:v>
      </x:c>
      <x:c r="L62" s="7" t="n">
        <x:v>529</x:v>
      </x:c>
      <x:c r="M62" s="6" t="s">
        <x:v>372</x:v>
      </x:c>
      <x:c r="N62" s="9" t="s">
        <x:v>38</x:v>
      </x:c>
      <x:c r="O62" s="10"/>
    </x:row>
    <x:row r="63" ht="39.75" hidden="0" customHeight="1">
      <x:c r="A63" s="6" t="s">
        <x:v>373</x:v>
      </x:c>
      <x:c r="B63" s="6" t="s">
        <x:v>374</x:v>
      </x:c>
      <x:c r="C63" s="6" t="s">
        <x:v>375</x:v>
      </x:c>
      <x:c r="D63" s="7" t="s">
        <x:v>376</x:v>
      </x:c>
      <x:c r="E63" s="6" t="s">
        <x:v>244</x:v>
      </x:c>
      <x:c r="F63" s="6" t="s">
        <x:v>377</x:v>
      </x:c>
      <x:c r="G63" s="7" t="s">
        <x:v>378</x:v>
      </x:c>
      <x:c r="H63" s="47" t="str">
        <x:v>05711000</x:v>
      </x:c>
      <x:c r="I63" s="6" t="s">
        <x:v>379</x:v>
      </x:c>
      <x:c r="J63" s="6" t="n">
        <x:v>52.0283</x:v>
      </x:c>
      <x:c r="K63" s="6" t="n">
        <x:v>8.5553</x:v>
      </x:c>
      <x:c r="L63" s="7" t="n">
        <x:v>950</x:v>
      </x:c>
      <x:c r="M63" s="6" t="s">
        <x:v>380</x:v>
      </x:c>
      <x:c r="N63" s="9" t="s">
        <x:v>38</x:v>
      </x:c>
      <x:c r="O63" s="10"/>
    </x:row>
    <x:row r="64" ht="39.75" hidden="0" customHeight="1">
      <x:c r="A64" s="6" t="s">
        <x:v>381</x:v>
      </x:c>
      <x:c r="B64" s="6" t="s">
        <x:v>374</x:v>
      </x:c>
      <x:c r="C64" s="6" t="s">
        <x:v>375</x:v>
      </x:c>
      <x:c r="D64" s="7" t="s">
        <x:v>382</x:v>
      </x:c>
      <x:c r="E64" s="6" t="s">
        <x:v>244</x:v>
      </x:c>
      <x:c r="F64" s="6" t="s">
        <x:v>383</x:v>
      </x:c>
      <x:c r="G64" s="7" t="s">
        <x:v>384</x:v>
      </x:c>
      <x:c r="H64" s="47" t="str">
        <x:v>05314000</x:v>
      </x:c>
      <x:c r="I64" s="6" t="s">
        <x:v>385</x:v>
      </x:c>
      <x:c r="J64" s="6" t="n">
        <x:v>50.7233734</x:v>
      </x:c>
      <x:c r="K64" s="6" t="n">
        <x:v>7.1007223</x:v>
      </x:c>
      <x:c r="L64" s="7" t="n">
        <x:v>800</x:v>
      </x:c>
      <x:c r="M64" s="6" t="s">
        <x:v>386</x:v>
      </x:c>
      <x:c r="N64" s="9" t="s">
        <x:v>38</x:v>
      </x:c>
      <x:c r="O64" s="10"/>
    </x:row>
    <x:row r="65" ht="39.75" hidden="0" customHeight="1">
      <x:c r="A65" s="6" t="s">
        <x:v>387</x:v>
      </x:c>
      <x:c r="B65" s="6" t="s">
        <x:v>374</x:v>
      </x:c>
      <x:c r="C65" s="6" t="s">
        <x:v>375</x:v>
      </x:c>
      <x:c r="D65" s="7" t="s">
        <x:v>388</x:v>
      </x:c>
      <x:c r="E65" s="6" t="s">
        <x:v>244</x:v>
      </x:c>
      <x:c r="F65" s="6" t="s">
        <x:v>389</x:v>
      </x:c>
      <x:c r="G65" s="7" t="s">
        <x:v>390</x:v>
      </x:c>
      <x:c r="H65" s="47" t="str">
        <x:v>05113000</x:v>
      </x:c>
      <x:c r="I65" s="6" t="s">
        <x:v>391</x:v>
      </x:c>
      <x:c r="J65" s="6" t="n">
        <x:v>51.3800138</x:v>
      </x:c>
      <x:c r="K65" s="6" t="n">
        <x:v>7.0477046</x:v>
      </x:c>
      <x:c r="L65" s="7" t="n">
        <x:v>920</x:v>
      </x:c>
      <x:c r="M65" s="6" t="s">
        <x:v>392</x:v>
      </x:c>
      <x:c r="N65" s="9" t="s">
        <x:v>38</x:v>
      </x:c>
      <x:c r="O65" s="10"/>
    </x:row>
    <x:row r="66" ht="39.75" hidden="0" customHeight="1">
      <x:c r="A66" s="6" t="s">
        <x:v>393</x:v>
      </x:c>
      <x:c r="B66" s="6" t="s">
        <x:v>374</x:v>
      </x:c>
      <x:c r="C66" s="6" t="s">
        <x:v>375</x:v>
      </x:c>
      <x:c r="D66" s="7" t="s">
        <x:v>394</x:v>
      </x:c>
      <x:c r="E66" s="6" t="s">
        <x:v>244</x:v>
      </x:c>
      <x:c r="F66" s="6" t="s">
        <x:v>383</x:v>
      </x:c>
      <x:c r="G66" s="7" t="s">
        <x:v>395</x:v>
      </x:c>
      <x:c r="H66" s="47" t="str">
        <x:v>05315000</x:v>
      </x:c>
      <x:c r="I66" s="6" t="s">
        <x:v>396</x:v>
      </x:c>
      <x:c r="J66" s="6" t="n">
        <x:v>50.912181</x:v>
      </x:c>
      <x:c r="K66" s="6" t="n">
        <x:v>6.966254</x:v>
      </x:c>
      <x:c r="L66" s="7" t="n">
        <x:v>800</x:v>
      </x:c>
      <x:c r="M66" s="6" t="s">
        <x:v>397</x:v>
      </x:c>
      <x:c r="N66" s="9" t="s">
        <x:v>83</x:v>
      </x:c>
      <x:c r="O66" s="10" t="s">
        <x:v>398</x:v>
      </x:c>
    </x:row>
    <x:row r="67" ht="39.75" hidden="0" customHeight="1">
      <x:c r="A67" s="6" t="s">
        <x:v>399</x:v>
      </x:c>
      <x:c r="B67" s="6" t="s">
        <x:v>374</x:v>
      </x:c>
      <x:c r="C67" s="6" t="s">
        <x:v>375</x:v>
      </x:c>
      <x:c r="D67" s="7" t="s">
        <x:v>400</x:v>
      </x:c>
      <x:c r="E67" s="6" t="s">
        <x:v>244</x:v>
      </x:c>
      <x:c r="F67" s="6" t="s">
        <x:v>389</x:v>
      </x:c>
      <x:c r="G67" s="7" t="s">
        <x:v>401</x:v>
      </x:c>
      <x:c r="H67" s="47" t="str">
        <x:v>05116000</x:v>
      </x:c>
      <x:c r="I67" s="6" t="s">
        <x:v>402</x:v>
      </x:c>
      <x:c r="J67" s="6" t="n">
        <x:v>51.158</x:v>
      </x:c>
      <x:c r="K67" s="6" t="n">
        <x:v>6.348</x:v>
      </x:c>
      <x:c r="L67" s="7" t="n">
        <x:v>2100</x:v>
      </x:c>
      <x:c r="M67" s="6" t="s">
        <x:v>403</x:v>
      </x:c>
      <x:c r="N67" s="9" t="s">
        <x:v>49</x:v>
      </x:c>
      <x:c r="O67" s="10"/>
    </x:row>
    <x:row r="68" ht="39.75" hidden="0" customHeight="1">
      <x:c r="A68" s="6" t="s">
        <x:v>404</x:v>
      </x:c>
      <x:c r="B68" s="6" t="s">
        <x:v>374</x:v>
      </x:c>
      <x:c r="C68" s="6" t="s">
        <x:v>375</x:v>
      </x:c>
      <x:c r="D68" s="7" t="s">
        <x:v>405</x:v>
      </x:c>
      <x:c r="E68" s="6" t="s">
        <x:v>244</x:v>
      </x:c>
      <x:c r="F68" s="6" t="s">
        <x:v>406</x:v>
      </x:c>
      <x:c r="G68" s="7" t="s">
        <x:v>407</x:v>
      </x:c>
      <x:c r="H68" s="47" t="str">
        <x:v>05978036</x:v>
      </x:c>
      <x:c r="I68" s="6" t="s">
        <x:v>408</x:v>
      </x:c>
      <x:c r="J68" s="6" t="n">
        <x:v>51.545</x:v>
      </x:c>
      <x:c r="K68" s="6" t="n">
        <x:v>7.66</x:v>
      </x:c>
      <x:c r="L68" s="7" t="n">
        <x:v>1000</x:v>
      </x:c>
      <x:c r="M68" s="6" t="s">
        <x:v>403</x:v>
      </x:c>
      <x:c r="N68" s="9" t="s">
        <x:v>49</x:v>
      </x:c>
      <x:c r="O68" s="10"/>
    </x:row>
    <x:row r="69" ht="39.75" hidden="0" customHeight="1">
      <x:c r="A69" s="6" t="s">
        <x:v>409</x:v>
      </x:c>
      <x:c r="B69" s="6" t="s">
        <x:v>410</x:v>
      </x:c>
      <x:c r="C69" s="6" t="s">
        <x:v>411</x:v>
      </x:c>
      <x:c r="D69" s="7" t="s">
        <x:v>412</x:v>
      </x:c>
      <x:c r="E69" s="6" t="s">
        <x:v>413</x:v>
      </x:c>
      <x:c r="F69" s="6" t="s">
        <x:v>414</x:v>
      </x:c>
      <x:c r="G69" s="7" t="s">
        <x:v>415</x:v>
      </x:c>
      <x:c r="H69" s="47" t="str">
        <x:v>07140082</x:v>
      </x:c>
      <x:c r="I69" s="6" t="s">
        <x:v>416</x:v>
      </x:c>
      <x:c r="J69" s="6" t="n">
        <x:v>49.9429026</x:v>
      </x:c>
      <x:c r="K69" s="6" t="n">
        <x:v>7.2629529</x:v>
      </x:c>
      <x:c r="L69" s="7" t="n">
        <x:v>450</x:v>
      </x:c>
      <x:c r="M69" s="6" t="s">
        <x:v>417</x:v>
      </x:c>
      <x:c r="N69" s="9" t="s">
        <x:v>49</x:v>
      </x:c>
      <x:c r="O69" s="10"/>
    </x:row>
    <x:row r="70" ht="39.75" hidden="0" customHeight="1">
      <x:c r="A70" s="6" t="s">
        <x:v>418</x:v>
      </x:c>
      <x:c r="B70" s="6" t="s">
        <x:v>410</x:v>
      </x:c>
      <x:c r="C70" s="6" t="s">
        <x:v>411</x:v>
      </x:c>
      <x:c r="D70" s="7" t="s">
        <x:v>419</x:v>
      </x:c>
      <x:c r="E70" s="6" t="s">
        <x:v>420</x:v>
      </x:c>
      <x:c r="F70" s="6" t="s">
        <x:v>414</x:v>
      </x:c>
      <x:c r="G70" s="7" t="s">
        <x:v>421</x:v>
      </x:c>
      <x:c r="H70" s="47" t="str">
        <x:v>07235045</x:v>
      </x:c>
      <x:c r="I70" s="6" t="s">
        <x:v>422</x:v>
      </x:c>
      <x:c r="J70" s="6" t="n">
        <x:v>49.6659073</x:v>
      </x:c>
      <x:c r="K70" s="6" t="n">
        <x:v>6.915775</x:v>
      </x:c>
      <x:c r="L70" s="7" t="n">
        <x:v>1000</x:v>
      </x:c>
      <x:c r="M70" s="6" t="s">
        <x:v>423</x:v>
      </x:c>
      <x:c r="N70" s="9" t="s">
        <x:v>38</x:v>
      </x:c>
      <x:c r="O70" s="10"/>
    </x:row>
    <x:row r="71" ht="39.75" hidden="0" customHeight="1">
      <x:c r="A71" s="6" t="s">
        <x:v>424</x:v>
      </x:c>
      <x:c r="B71" s="6" t="s">
        <x:v>410</x:v>
      </x:c>
      <x:c r="C71" s="6" t="s">
        <x:v>411</x:v>
      </x:c>
      <x:c r="D71" s="7" t="s">
        <x:v>425</x:v>
      </x:c>
      <x:c r="E71" s="6" t="s">
        <x:v>420</x:v>
      </x:c>
      <x:c r="F71" s="6" t="s">
        <x:v>414</x:v>
      </x:c>
      <x:c r="G71" s="7" t="s">
        <x:v>426</x:v>
      </x:c>
      <x:c r="H71" s="47" t="str">
        <x:v>07336055</x:v>
      </x:c>
      <x:c r="I71" s="6" t="s">
        <x:v>427</x:v>
      </x:c>
      <x:c r="J71" s="6" t="n">
        <x:v>49.5463812</x:v>
      </x:c>
      <x:c r="K71" s="6" t="n">
        <x:v>7.4084085</x:v>
      </x:c>
      <x:c r="L71" s="7" t="n">
        <x:v>700</x:v>
      </x:c>
      <x:c r="M71" s="6" t="s">
        <x:v>428</x:v>
      </x:c>
      <x:c r="N71" s="9" t="s">
        <x:v>38</x:v>
      </x:c>
      <x:c r="O71" s="10"/>
    </x:row>
    <x:row r="72" ht="39.75" hidden="0" customHeight="1">
      <x:c r="A72" s="6" t="s">
        <x:v>429</x:v>
      </x:c>
      <x:c r="B72" s="6" t="s">
        <x:v>410</x:v>
      </x:c>
      <x:c r="C72" s="6" t="s">
        <x:v>411</x:v>
      </x:c>
      <x:c r="D72" s="7" t="s">
        <x:v>430</x:v>
      </x:c>
      <x:c r="E72" s="6" t="s">
        <x:v>420</x:v>
      </x:c>
      <x:c r="F72" s="6" t="s">
        <x:v>414</x:v>
      </x:c>
      <x:c r="G72" s="7" t="s">
        <x:v>431</x:v>
      </x:c>
      <x:c r="H72" s="47" t="str">
        <x:v>07318000</x:v>
      </x:c>
      <x:c r="I72" s="6" t="s">
        <x:v>432</x:v>
      </x:c>
      <x:c r="J72" s="6" t="n">
        <x:v>49.358943</x:v>
      </x:c>
      <x:c r="K72" s="6" t="n">
        <x:v>8.4279529</x:v>
      </x:c>
      <x:c r="L72" s="7" t="n">
        <x:v>1100</x:v>
      </x:c>
      <x:c r="M72" s="6" t="s">
        <x:v>433</x:v>
      </x:c>
      <x:c r="N72" s="9" t="s">
        <x:v>38</x:v>
      </x:c>
      <x:c r="O72" s="10"/>
    </x:row>
    <x:row r="73" ht="39.75" hidden="0" customHeight="1">
      <x:c r="A73" s="6" t="s">
        <x:v>434</x:v>
      </x:c>
      <x:c r="B73" s="6" t="s">
        <x:v>410</x:v>
      </x:c>
      <x:c r="C73" s="6" t="s">
        <x:v>411</x:v>
      </x:c>
      <x:c r="D73" s="7" t="s">
        <x:v>435</x:v>
      </x:c>
      <x:c r="E73" s="6" t="s">
        <x:v>420</x:v>
      </x:c>
      <x:c r="F73" s="6" t="s">
        <x:v>414</x:v>
      </x:c>
      <x:c r="G73" s="7" t="s">
        <x:v>436</x:v>
      </x:c>
      <x:c r="H73" s="47" t="str">
        <x:v>07211000</x:v>
      </x:c>
      <x:c r="I73" s="6" t="s">
        <x:v>437</x:v>
      </x:c>
      <x:c r="J73" s="6" t="n">
        <x:v>49.770598</x:v>
      </x:c>
      <x:c r="K73" s="6" t="n">
        <x:v>6.674183</x:v>
      </x:c>
      <x:c r="L73" s="7" t="n">
        <x:v>1000</x:v>
      </x:c>
      <x:c r="M73" s="6" t="s">
        <x:v>438</x:v>
      </x:c>
      <x:c r="N73" s="9" t="s">
        <x:v>38</x:v>
      </x:c>
      <x:c r="O73" s="10" t="s">
        <x:v>439</x:v>
      </x:c>
    </x:row>
    <x:row r="74" ht="39.75" hidden="0" customHeight="1">
      <x:c r="A74" s="6" t="s">
        <x:v>440</x:v>
      </x:c>
      <x:c r="B74" s="6" t="s">
        <x:v>441</x:v>
      </x:c>
      <x:c r="C74" s="6" t="s">
        <x:v>442</x:v>
      </x:c>
      <x:c r="D74" s="7" t="s">
        <x:v>443</x:v>
      </x:c>
      <x:c r="E74" s="6" t="s">
        <x:v>244</x:v>
      </x:c>
      <x:c r="F74" s="6" t="s">
        <x:v>444</x:v>
      </x:c>
      <x:c r="G74" s="7" t="s">
        <x:v>445</x:v>
      </x:c>
      <x:c r="H74" s="47" t="str">
        <x:v>01004000</x:v>
      </x:c>
      <x:c r="I74" s="6" t="s">
        <x:v>446</x:v>
      </x:c>
      <x:c r="J74" s="6" t="n">
        <x:v>54.062247</x:v>
      </x:c>
      <x:c r="K74" s="6" t="n">
        <x:v>10.002524</x:v>
      </x:c>
      <x:c r="L74" s="7" t="n">
        <x:v>867</x:v>
      </x:c>
      <x:c r="M74" s="6" t="s">
        <x:v>447</x:v>
      </x:c>
      <x:c r="N74" s="9" t="s">
        <x:v>38</x:v>
      </x:c>
      <x:c r="O74" s="10" t="s">
        <x:v>448</x:v>
      </x:c>
    </x:row>
    <x:row r="75" ht="39.75" hidden="0" customHeight="1">
      <x:c r="A75" s="6" t="s">
        <x:v>449</x:v>
      </x:c>
      <x:c r="B75" s="6" t="s">
        <x:v>441</x:v>
      </x:c>
      <x:c r="C75" s="6" t="s">
        <x:v>442</x:v>
      </x:c>
      <x:c r="D75" s="7" t="s">
        <x:v>450</x:v>
      </x:c>
      <x:c r="E75" s="6" t="s">
        <x:v>451</x:v>
      </x:c>
      <x:c r="F75" s="6" t="s">
        <x:v>444</x:v>
      </x:c>
      <x:c r="G75" s="7" t="s">
        <x:v>452</x:v>
      </x:c>
      <x:c r="H75" s="47" t="str">
        <x:v>01060005</x:v>
      </x:c>
      <x:c r="I75" s="6" t="s">
        <x:v>453</x:v>
      </x:c>
      <x:c r="J75" s="6" t="n">
        <x:v>53.9379101</x:v>
      </x:c>
      <x:c r="K75" s="6" t="n">
        <x:v>10.2755076</x:v>
      </x:c>
      <x:c r="L75" s="7" t="n">
        <x:v>1105</x:v>
      </x:c>
      <x:c r="M75" s="6" t="s">
        <x:v>454</x:v>
      </x:c>
      <x:c r="N75" s="9" t="s">
        <x:v>38</x:v>
      </x:c>
      <x:c r="O75" s="10"/>
    </x:row>
    <x:row r="76" ht="39.75" hidden="0" customHeight="1">
      <x:c r="A76" s="6" t="s">
        <x:v>455</x:v>
      </x:c>
      <x:c r="B76" s="6" t="s">
        <x:v>441</x:v>
      </x:c>
      <x:c r="C76" s="6" t="s">
        <x:v>442</x:v>
      </x:c>
      <x:c r="D76" s="7" t="s">
        <x:v>456</x:v>
      </x:c>
      <x:c r="E76" s="6" t="s">
        <x:v>451</x:v>
      </x:c>
      <x:c r="F76" s="6" t="s">
        <x:v>444</x:v>
      </x:c>
      <x:c r="G76" s="7" t="s">
        <x:v>457</x:v>
      </x:c>
      <x:c r="H76" s="47" t="str">
        <x:v>01060011</x:v>
      </x:c>
      <x:c r="I76" s="6" t="s">
        <x:v>458</x:v>
      </x:c>
      <x:c r="J76" s="6" t="n">
        <x:v>54.019357</x:v>
      </x:c>
      <x:c r="K76" s="6" t="n">
        <x:v>10.023675</x:v>
      </x:c>
      <x:c r="L76" s="7" t="n">
        <x:v>2125</x:v>
      </x:c>
      <x:c r="M76" s="6" t="s">
        <x:v>454</x:v>
      </x:c>
      <x:c r="N76" s="9" t="s">
        <x:v>83</x:v>
      </x:c>
      <x:c r="O76" s="10" t="s">
        <x:v>459</x:v>
      </x:c>
    </x:row>
    <x:row r="77" ht="39.75" hidden="0" customHeight="1">
      <x:c r="A77" s="6" t="s">
        <x:v>460</x:v>
      </x:c>
      <x:c r="B77" s="6" t="s">
        <x:v>441</x:v>
      </x:c>
      <x:c r="C77" s="6" t="s">
        <x:v>442</x:v>
      </x:c>
      <x:c r="D77" s="7" t="s">
        <x:v>461</x:v>
      </x:c>
      <x:c r="E77" s="6" t="s">
        <x:v>451</x:v>
      </x:c>
      <x:c r="F77" s="6" t="s">
        <x:v>444</x:v>
      </x:c>
      <x:c r="G77" s="7" t="s">
        <x:v>462</x:v>
      </x:c>
      <x:c r="H77" s="47" t="str">
        <x:v>01061029</x:v>
      </x:c>
      <x:c r="I77" s="6" t="s">
        <x:v>463</x:v>
      </x:c>
      <x:c r="J77" s="6" t="n">
        <x:v>53.801973</x:v>
      </x:c>
      <x:c r="K77" s="6" t="n">
        <x:v>9.416534</x:v>
      </x:c>
      <x:c r="L77" s="7" t="n">
        <x:v>510</x:v>
      </x:c>
      <x:c r="M77" s="6" t="s">
        <x:v>464</x:v>
      </x:c>
      <x:c r="N77" s="9" t="s">
        <x:v>38</x:v>
      </x:c>
      <x:c r="O77" s="10" t="s">
        <x:v>465</x:v>
      </x:c>
    </x:row>
    <x:row r="78" ht="39.75" hidden="0" customHeight="1">
      <x:c r="A78" s="6" t="s">
        <x:v>466</x:v>
      </x:c>
      <x:c r="B78" s="6" t="s">
        <x:v>441</x:v>
      </x:c>
      <x:c r="C78" s="6" t="s">
        <x:v>442</x:v>
      </x:c>
      <x:c r="D78" s="7" t="s">
        <x:v>467</x:v>
      </x:c>
      <x:c r="E78" s="6" t="s">
        <x:v>451</x:v>
      </x:c>
      <x:c r="F78" s="6" t="s">
        <x:v>444</x:v>
      </x:c>
      <x:c r="G78" s="7" t="s">
        <x:v>468</x:v>
      </x:c>
      <x:c r="H78" s="47" t="str">
        <x:v>01002000</x:v>
      </x:c>
      <x:c r="I78" s="11" t="s">
        <x:v>469</x:v>
      </x:c>
      <x:c r="J78" s="11" t="n">
        <x:v>54.350023</x:v>
      </x:c>
      <x:c r="K78" s="11" t="n">
        <x:v>10.144115</x:v>
      </x:c>
      <x:c r="L78" s="7" t="n">
        <x:v>493</x:v>
      </x:c>
      <x:c r="M78" s="6" t="s">
        <x:v>470</x:v>
      </x:c>
      <x:c r="N78" s="12" t="s">
        <x:v>38</x:v>
      </x:c>
      <x:c r="O78" s="13" t="s">
        <x:v>471</x:v>
      </x:c>
    </x:row>
    <x:row r="79" ht="39.75" hidden="0" customHeight="1">
      <x:c r="A79" s="6" t="s">
        <x:v>472</x:v>
      </x:c>
      <x:c r="B79" s="6" t="s">
        <x:v>441</x:v>
      </x:c>
      <x:c r="C79" s="6" t="s">
        <x:v>442</x:v>
      </x:c>
      <x:c r="D79" s="7" t="s">
        <x:v>473</x:v>
      </x:c>
      <x:c r="E79" s="6" t="s">
        <x:v>451</x:v>
      </x:c>
      <x:c r="F79" s="6" t="s">
        <x:v>444</x:v>
      </x:c>
      <x:c r="G79" s="7" t="s">
        <x:v>474</x:v>
      </x:c>
      <x:c r="H79" s="47" t="str">
        <x:v>01058135</x:v>
      </x:c>
      <x:c r="I79" s="11" t="s">
        <x:v>475</x:v>
      </x:c>
      <x:c r="J79" s="11" t="n">
        <x:v>54.2995</x:v>
      </x:c>
      <x:c r="K79" s="11" t="n">
        <x:v>9.6616</x:v>
      </x:c>
      <x:c r="L79" s="7" t="n">
        <x:v>1190</x:v>
      </x:c>
      <x:c r="M79" s="6" t="s">
        <x:v>454</x:v>
      </x:c>
      <x:c r="N79" s="12" t="s">
        <x:v>38</x:v>
      </x:c>
      <x:c r="O79" s="13"/>
    </x:row>
    <x:row r="80" ht="39.75" hidden="0" customHeight="1">
      <x:c r="A80" s="6" t="s">
        <x:v>476</x:v>
      </x:c>
      <x:c r="B80" s="6" t="s">
        <x:v>441</x:v>
      </x:c>
      <x:c r="C80" s="6" t="s">
        <x:v>442</x:v>
      </x:c>
      <x:c r="D80" s="7" t="s">
        <x:v>477</x:v>
      </x:c>
      <x:c r="E80" s="6" t="s">
        <x:v>451</x:v>
      </x:c>
      <x:c r="F80" s="6" t="s">
        <x:v>444</x:v>
      </x:c>
      <x:c r="G80" s="7" t="s">
        <x:v>478</x:v>
      </x:c>
      <x:c r="H80" s="47" t="str">
        <x:v>01054119</x:v>
      </x:c>
      <x:c r="I80" s="6" t="s">
        <x:v>479</x:v>
      </x:c>
      <x:c r="J80" s="6" t="n">
        <x:v>54.364068</x:v>
      </x:c>
      <x:c r="K80" s="6" t="n">
        <x:v>9.175724</x:v>
      </x:c>
      <x:c r="L80" s="7" t="n">
        <x:v>935</x:v>
      </x:c>
      <x:c r="M80" s="6" t="s">
        <x:v>454</x:v>
      </x:c>
      <x:c r="N80" s="9" t="s">
        <x:v>83</x:v>
      </x:c>
      <x:c r="O80" s="10" t="s">
        <x:v>480</x:v>
      </x:c>
    </x:row>
    <x:row r="81" ht="39.75" hidden="0" customHeight="1">
      <x:c r="A81" s="6" t="s">
        <x:v>481</x:v>
      </x:c>
      <x:c r="B81" s="6" t="s">
        <x:v>482</x:v>
      </x:c>
      <x:c r="C81" s="6" t="s">
        <x:v>483</x:v>
      </x:c>
      <x:c r="D81" s="7" t="s">
        <x:v>484</x:v>
      </x:c>
      <x:c r="E81" s="6" t="s">
        <x:v>485</x:v>
      </x:c>
      <x:c r="F81" s="6" t="s">
        <x:v>486</x:v>
      </x:c>
      <x:c r="G81" s="7" t="s">
        <x:v>487</x:v>
      </x:c>
      <x:c r="H81" s="47" t="str">
        <x:v>10044112</x:v>
      </x:c>
      <x:c r="I81" s="6" t="s">
        <x:v>488</x:v>
      </x:c>
      <x:c r="J81" s="6" t="n">
        <x:v>49.4025</x:v>
      </x:c>
      <x:c r="K81" s="6" t="n">
        <x:v>6.899</x:v>
      </x:c>
      <x:c r="L81" s="7"/>
      <x:c r="M81" s="6" t="s">
        <x:v>489</x:v>
      </x:c>
      <x:c r="N81" s="9" t="s">
        <x:v>38</x:v>
      </x:c>
      <x:c r="O81" s="10"/>
    </x:row>
    <x:row r="82" ht="39.75" hidden="0" customHeight="1">
      <x:c r="A82" s="6" t="s">
        <x:v>490</x:v>
      </x:c>
      <x:c r="B82" s="6" t="s">
        <x:v>491</x:v>
      </x:c>
      <x:c r="C82" s="6" t="s">
        <x:v>492</x:v>
      </x:c>
      <x:c r="D82" s="7" t="s">
        <x:v>493</x:v>
      </x:c>
      <x:c r="E82" s="6" t="s">
        <x:v>494</x:v>
      </x:c>
      <x:c r="F82" s="6" t="s">
        <x:v>495</x:v>
      </x:c>
      <x:c r="G82" s="7" t="s">
        <x:v>496</x:v>
      </x:c>
      <x:c r="H82" s="47" t="str">
        <x:v>14511000</x:v>
      </x:c>
      <x:c r="I82" s="6" t="s">
        <x:v>497</x:v>
      </x:c>
      <x:c r="J82" s="6" t="n">
        <x:v>50.8411609</x:v>
      </x:c>
      <x:c r="K82" s="6" t="n">
        <x:v>12.8886736</x:v>
      </x:c>
      <x:c r="L82" s="7" t="n">
        <x:v>100</x:v>
      </x:c>
      <x:c r="M82" s="6" t="s">
        <x:v>498</x:v>
      </x:c>
      <x:c r="N82" s="9" t="s">
        <x:v>38</x:v>
      </x:c>
      <x:c r="O82" s="10"/>
    </x:row>
    <x:row r="83" ht="39.75" hidden="0" customHeight="1">
      <x:c r="A83" s="6" t="s">
        <x:v>499</x:v>
      </x:c>
      <x:c r="B83" s="6" t="s">
        <x:v>491</x:v>
      </x:c>
      <x:c r="C83" s="6" t="s">
        <x:v>492</x:v>
      </x:c>
      <x:c r="D83" s="7" t="s">
        <x:v>500</x:v>
      </x:c>
      <x:c r="E83" s="6" t="s">
        <x:v>494</x:v>
      </x:c>
      <x:c r="F83" s="6" t="s">
        <x:v>495</x:v>
      </x:c>
      <x:c r="G83" s="7" t="s">
        <x:v>496</x:v>
      </x:c>
      <x:c r="H83" s="47" t="str">
        <x:v>14511000</x:v>
      </x:c>
      <x:c r="I83" s="6" t="s">
        <x:v>501</x:v>
      </x:c>
      <x:c r="J83" s="6" t="n">
        <x:v>50.7668616</x:v>
      </x:c>
      <x:c r="K83" s="6" t="n">
        <x:v>12.9849748</x:v>
      </x:c>
      <x:c r="L83" s="7"/>
      <x:c r="M83" s="6" t="s">
        <x:v>502</x:v>
      </x:c>
      <x:c r="N83" s="9" t="s">
        <x:v>38</x:v>
      </x:c>
      <x:c r="O83" s="10"/>
    </x:row>
    <x:row r="84" ht="39.75" hidden="0" customHeight="1">
      <x:c r="A84" s="6" t="s">
        <x:v>503</x:v>
      </x:c>
      <x:c r="B84" s="6" t="s">
        <x:v>491</x:v>
      </x:c>
      <x:c r="C84" s="6" t="s">
        <x:v>492</x:v>
      </x:c>
      <x:c r="D84" s="7" t="s">
        <x:v>504</x:v>
      </x:c>
      <x:c r="E84" s="6" t="s">
        <x:v>494</x:v>
      </x:c>
      <x:c r="F84" s="6" t="s">
        <x:v>495</x:v>
      </x:c>
      <x:c r="G84" s="7" t="s">
        <x:v>505</x:v>
      </x:c>
      <x:c r="H84" s="47" t="str">
        <x:v>14524190</x:v>
      </x:c>
      <x:c r="I84" s="6" t="s">
        <x:v>506</x:v>
      </x:c>
      <x:c r="J84" s="6" t="n">
        <x:v>50.8378424</x:v>
      </x:c>
      <x:c r="K84" s="6" t="n">
        <x:v>12.4683205</x:v>
      </x:c>
      <x:c r="L84" s="7"/>
      <x:c r="M84" s="6" t="s">
        <x:v>507</x:v>
      </x:c>
      <x:c r="N84" s="9" t="s">
        <x:v>38</x:v>
      </x:c>
      <x:c r="O84" s="10"/>
    </x:row>
    <x:row r="85" ht="39.75" hidden="0" customHeight="1">
      <x:c r="A85" s="6" t="s">
        <x:v>508</x:v>
      </x:c>
      <x:c r="B85" s="6" t="s">
        <x:v>491</x:v>
      </x:c>
      <x:c r="C85" s="6" t="s">
        <x:v>492</x:v>
      </x:c>
      <x:c r="D85" s="7" t="s">
        <x:v>509</x:v>
      </x:c>
      <x:c r="E85" s="6" t="s">
        <x:v>494</x:v>
      </x:c>
      <x:c r="F85" s="6" t="s">
        <x:v>495</x:v>
      </x:c>
      <x:c r="G85" s="7" t="s">
        <x:v>496</x:v>
      </x:c>
      <x:c r="H85" s="47" t="str">
        <x:v>14511000</x:v>
      </x:c>
      <x:c r="I85" s="6" t="s">
        <x:v>510</x:v>
      </x:c>
      <x:c r="J85" s="6" t="n">
        <x:v>50.8145176</x:v>
      </x:c>
      <x:c r="K85" s="6" t="n">
        <x:v>12.9316884</x:v>
      </x:c>
      <x:c r="L85" s="7" t="n">
        <x:v>200</x:v>
      </x:c>
      <x:c r="M85" s="6" t="s">
        <x:v>511</x:v>
      </x:c>
      <x:c r="N85" s="9" t="s">
        <x:v>38</x:v>
      </x:c>
      <x:c r="O85" s="10"/>
    </x:row>
    <x:row r="86" ht="39.75" hidden="0" customHeight="1">
      <x:c r="A86" s="6" t="s">
        <x:v>512</x:v>
      </x:c>
      <x:c r="B86" s="6" t="s">
        <x:v>491</x:v>
      </x:c>
      <x:c r="C86" s="6" t="s">
        <x:v>492</x:v>
      </x:c>
      <x:c r="D86" s="7" t="str">
        <x:v>AE Chemnitz — SFZ-CoWerk (schutzbedürftige Personen)</x:v>
      </x:c>
      <x:c r="E86" s="6" t="str">
        <x:v>Accommodation unit of an initial reception facility (special profile)</x:v>
      </x:c>
      <x:c r="F86" s="6" t="str">
        <x:v>Landesdirektion Sachsen (state directorate)</x:v>
      </x:c>
      <x:c r="G86" s="7" t="str">
        <x:v>Chemnitz</x:v>
      </x:c>
      <x:c r="H86" s="47" t="str">
        <x:v>14511000</x:v>
      </x:c>
      <x:c r="I86" s="6" t="str">
        <x:v>UNVERIFIED — exact active location on 23.02.2025 not independently established</x:v>
      </x:c>
      <x:c r="J86" s="6" t="n">
        <x:v>50.83416666666667</x:v>
      </x:c>
      <x:c r="K86" s="6" t="n">
        <x:v>12.921111111111111</x:v>
      </x:c>
      <x:c r="L86" s="7"/>
      <x:c r="M86" s="6" t="str">
        <x:v>Landesdirektion Sachsen directory (archived/live page places SFZ-CoWerk under Aufnahmeeinrichtung Chemnitz): https://www.lds.sachsen.de/asyl/?ID=15867&amp;art_param=934 ; Landesdirektion Sachsen / Medienservice, 14.01.2021, confirms SFZ CoWerk as a Chemnitz reception facility for medically vulnerable asylum seekers: https://www.medienservice.sachsen.de/medien/news/245434 ; archived parliamentary answer (2019) names 'AE SFZ CoWerk, Chemnitz' with Haus Lützowstraße and Haus Matthessstraße. Exact operating building on 23.02.2025 not independently verified.</x:v>
      </x:c>
      <x:c r="N86" s="9" t="str">
        <x:v>municipality</x:v>
      </x:c>
      <x:c r="O86" s="10" t="str">
        <x:v>Corrected in v8 from Dresden to Chemnitz. Multiple official/archival sources place SFZ-CoWerk under the Chemnitz initial-reception system. Historical documents name Haus Lützowstraße and Haus Matthessstraße, but no source located in the audit establishes the exact active street/house number on 23.02.2025. Coordinates therefore use the official Chemnitz city-centre (Marktplatz) reference point published by Stadt Chemnitz (50°50'03" N, 12°55'16" E) as a municipality-level proxy, not a facility location.</x:v>
      </x:c>
    </x:row>
    <x:row r="87" ht="39.75" hidden="0" customHeight="1">
      <x:c r="A87" s="6" t="s">
        <x:v>513</x:v>
      </x:c>
      <x:c r="B87" s="6" t="s">
        <x:v>491</x:v>
      </x:c>
      <x:c r="C87" s="6" t="s">
        <x:v>492</x:v>
      </x:c>
      <x:c r="D87" s="7" t="s">
        <x:v>514</x:v>
      </x:c>
      <x:c r="E87" s="6" t="s">
        <x:v>494</x:v>
      </x:c>
      <x:c r="F87" s="6" t="s">
        <x:v>495</x:v>
      </x:c>
      <x:c r="G87" s="7" t="s">
        <x:v>515</x:v>
      </x:c>
      <x:c r="H87" s="47" t="str">
        <x:v>14612000</x:v>
      </x:c>
      <x:c r="I87" s="8" t="s">
        <x:v>516</x:v>
      </x:c>
      <x:c r="J87" s="6" t="n">
        <x:v>51.0611714</x:v>
      </x:c>
      <x:c r="K87" s="6" t="n">
        <x:v>13.7062195</x:v>
      </x:c>
      <x:c r="L87" s="7" t="n">
        <x:v>420</x:v>
      </x:c>
      <x:c r="M87" s="6" t="s">
        <x:v>517</x:v>
      </x:c>
      <x:c r="N87" s="9" t="s">
        <x:v>38</x:v>
      </x:c>
      <x:c r="O87" s="10"/>
    </x:row>
    <x:row r="88" ht="39.75" hidden="0" customHeight="1">
      <x:c r="A88" s="6" t="s">
        <x:v>518</x:v>
      </x:c>
      <x:c r="B88" s="6" t="s">
        <x:v>491</x:v>
      </x:c>
      <x:c r="C88" s="6" t="s">
        <x:v>492</x:v>
      </x:c>
      <x:c r="D88" s="7" t="s">
        <x:v>519</x:v>
      </x:c>
      <x:c r="E88" s="6" t="s">
        <x:v>494</x:v>
      </x:c>
      <x:c r="F88" s="6" t="s">
        <x:v>495</x:v>
      </x:c>
      <x:c r="G88" s="7" t="s">
        <x:v>515</x:v>
      </x:c>
      <x:c r="H88" s="47" t="str">
        <x:v>14612000</x:v>
      </x:c>
      <x:c r="I88" s="6" t="s">
        <x:v>520</x:v>
      </x:c>
      <x:c r="J88" s="6" t="n">
        <x:v>51.068939</x:v>
      </x:c>
      <x:c r="K88" s="6" t="n">
        <x:v>13.712323</x:v>
      </x:c>
      <x:c r="L88" s="7"/>
      <x:c r="M88" s="6" t="s">
        <x:v>511</x:v>
      </x:c>
      <x:c r="N88" s="9" t="s">
        <x:v>38</x:v>
      </x:c>
      <x:c r="O88" s="10" t="s">
        <x:v>521</x:v>
      </x:c>
    </x:row>
    <x:row r="89" ht="39.75" hidden="0" customHeight="1">
      <x:c r="A89" s="6" t="s">
        <x:v>522</x:v>
      </x:c>
      <x:c r="B89" s="6" t="s">
        <x:v>491</x:v>
      </x:c>
      <x:c r="C89" s="6" t="s">
        <x:v>492</x:v>
      </x:c>
      <x:c r="D89" s="7" t="s">
        <x:v>523</x:v>
      </x:c>
      <x:c r="E89" s="6" t="s">
        <x:v>494</x:v>
      </x:c>
      <x:c r="F89" s="6" t="s">
        <x:v>495</x:v>
      </x:c>
      <x:c r="G89" s="7" t="s">
        <x:v>515</x:v>
      </x:c>
      <x:c r="H89" s="47" t="str">
        <x:v>14612000</x:v>
      </x:c>
      <x:c r="I89" s="6" t="s">
        <x:v>524</x:v>
      </x:c>
      <x:c r="J89" s="6" t="n">
        <x:v>51.010814</x:v>
      </x:c>
      <x:c r="K89" s="6" t="n">
        <x:v>13.8015648</x:v>
      </x:c>
      <x:c r="L89" s="7"/>
      <x:c r="M89" s="6" t="s">
        <x:v>525</x:v>
      </x:c>
      <x:c r="N89" s="9" t="s">
        <x:v>38</x:v>
      </x:c>
      <x:c r="O89" s="10"/>
    </x:row>
    <x:row r="90" ht="39.75" hidden="0" customHeight="1">
      <x:c r="A90" s="6" t="s">
        <x:v>526</x:v>
      </x:c>
      <x:c r="B90" s="6" t="s">
        <x:v>491</x:v>
      </x:c>
      <x:c r="C90" s="6" t="s">
        <x:v>492</x:v>
      </x:c>
      <x:c r="D90" s="7" t="s">
        <x:v>527</x:v>
      </x:c>
      <x:c r="E90" s="6" t="s">
        <x:v>528</x:v>
      </x:c>
      <x:c r="F90" s="6" t="s">
        <x:v>495</x:v>
      </x:c>
      <x:c r="G90" s="7" t="s">
        <x:v>515</x:v>
      </x:c>
      <x:c r="H90" s="47" t="str">
        <x:v>14612000</x:v>
      </x:c>
      <x:c r="I90" s="6" t="s">
        <x:v>529</x:v>
      </x:c>
      <x:c r="J90" s="6" t="n">
        <x:v>51.071023</x:v>
      </x:c>
      <x:c r="K90" s="6" t="n">
        <x:v>13.773619</x:v>
      </x:c>
      <x:c r="L90" s="7"/>
      <x:c r="M90" s="6" t="s">
        <x:v>530</x:v>
      </x:c>
      <x:c r="N90" s="9" t="s">
        <x:v>38</x:v>
      </x:c>
      <x:c r="O90" s="10" t="s">
        <x:v>531</x:v>
      </x:c>
    </x:row>
    <x:row r="91" ht="39.75" hidden="0" customHeight="1">
      <x:c r="A91" s="6" t="s">
        <x:v>532</x:v>
      </x:c>
      <x:c r="B91" s="6" t="s">
        <x:v>491</x:v>
      </x:c>
      <x:c r="C91" s="6" t="s">
        <x:v>492</x:v>
      </x:c>
      <x:c r="D91" s="7" t="s">
        <x:v>533</x:v>
      </x:c>
      <x:c r="E91" s="6" t="s">
        <x:v>494</x:v>
      </x:c>
      <x:c r="F91" s="6" t="s">
        <x:v>495</x:v>
      </x:c>
      <x:c r="G91" s="7" t="s">
        <x:v>534</x:v>
      </x:c>
      <x:c r="H91" s="47" t="str">
        <x:v>14713000</x:v>
      </x:c>
      <x:c r="I91" s="6" t="s">
        <x:v>535</x:v>
      </x:c>
      <x:c r="J91" s="6" t="n">
        <x:v>51.391236</x:v>
      </x:c>
      <x:c r="K91" s="6" t="n">
        <x:v>12.3962241</x:v>
      </x:c>
      <x:c r="L91" s="7"/>
      <x:c r="M91" s="6" t="s">
        <x:v>536</x:v>
      </x:c>
      <x:c r="N91" s="9" t="s">
        <x:v>38</x:v>
      </x:c>
      <x:c r="O91" s="10"/>
    </x:row>
    <x:row r="92" ht="39.75" hidden="0" customHeight="1">
      <x:c r="A92" s="6" t="s">
        <x:v>537</x:v>
      </x:c>
      <x:c r="B92" s="6" t="s">
        <x:v>491</x:v>
      </x:c>
      <x:c r="C92" s="6" t="s">
        <x:v>492</x:v>
      </x:c>
      <x:c r="D92" s="7" t="s">
        <x:v>538</x:v>
      </x:c>
      <x:c r="E92" s="6" t="s">
        <x:v>494</x:v>
      </x:c>
      <x:c r="F92" s="6" t="s">
        <x:v>495</x:v>
      </x:c>
      <x:c r="G92" s="7" t="s">
        <x:v>534</x:v>
      </x:c>
      <x:c r="H92" s="47" t="str">
        <x:v>14713000</x:v>
      </x:c>
      <x:c r="I92" s="6" t="s">
        <x:v>539</x:v>
      </x:c>
      <x:c r="J92" s="6" t="n">
        <x:v>51.3916496</x:v>
      </x:c>
      <x:c r="K92" s="6" t="n">
        <x:v>12.395405</x:v>
      </x:c>
      <x:c r="L92" s="7"/>
      <x:c r="M92" s="6" t="s">
        <x:v>540</x:v>
      </x:c>
      <x:c r="N92" s="9" t="s">
        <x:v>38</x:v>
      </x:c>
      <x:c r="O92" s="10"/>
    </x:row>
    <x:row r="93" ht="39.75" hidden="0" customHeight="1">
      <x:c r="A93" s="6" t="s">
        <x:v>541</x:v>
      </x:c>
      <x:c r="B93" s="6" t="s">
        <x:v>491</x:v>
      </x:c>
      <x:c r="C93" s="6" t="s">
        <x:v>492</x:v>
      </x:c>
      <x:c r="D93" s="7" t="s">
        <x:v>542</x:v>
      </x:c>
      <x:c r="E93" s="6" t="s">
        <x:v>494</x:v>
      </x:c>
      <x:c r="F93" s="6" t="s">
        <x:v>495</x:v>
      </x:c>
      <x:c r="G93" s="7" t="s">
        <x:v>543</x:v>
      </x:c>
      <x:c r="H93" s="47" t="str">
        <x:v>14729370</x:v>
      </x:c>
      <x:c r="I93" s="6" t="s">
        <x:v>544</x:v>
      </x:c>
      <x:c r="J93" s="6" t="n">
        <x:v>51.1975932</x:v>
      </x:c>
      <x:c r="K93" s="6" t="n">
        <x:v>12.4217373</x:v>
      </x:c>
      <x:c r="L93" s="7"/>
      <x:c r="M93" s="6" t="s">
        <x:v>511</x:v>
      </x:c>
      <x:c r="N93" s="9" t="s">
        <x:v>38</x:v>
      </x:c>
      <x:c r="O93" s="10"/>
    </x:row>
    <x:row r="94" ht="39.75" hidden="0" customHeight="1">
      <x:c r="A94" s="6" t="s">
        <x:v>545</x:v>
      </x:c>
      <x:c r="B94" s="6" t="s">
        <x:v>491</x:v>
      </x:c>
      <x:c r="C94" s="6" t="s">
        <x:v>492</x:v>
      </x:c>
      <x:c r="D94" s="7" t="s">
        <x:v>546</x:v>
      </x:c>
      <x:c r="E94" s="6" t="s">
        <x:v>494</x:v>
      </x:c>
      <x:c r="F94" s="6" t="s">
        <x:v>495</x:v>
      </x:c>
      <x:c r="G94" s="7" t="s">
        <x:v>547</x:v>
      </x:c>
      <x:c r="H94" s="47" t="str">
        <x:v>14730270</x:v>
      </x:c>
      <x:c r="I94" s="6" t="s">
        <x:v>548</x:v>
      </x:c>
      <x:c r="J94" s="6" t="n">
        <x:v>51.3484218</x:v>
      </x:c>
      <x:c r="K94" s="6" t="n">
        <x:v>12.1940978</x:v>
      </x:c>
      <x:c r="L94" s="7" t="n">
        <x:v>700</x:v>
      </x:c>
      <x:c r="M94" s="6" t="s">
        <x:v>549</x:v>
      </x:c>
      <x:c r="N94" s="9" t="s">
        <x:v>38</x:v>
      </x:c>
      <x:c r="O94" s="10"/>
    </x:row>
    <x:row r="95" ht="39.75" hidden="0" customHeight="1">
      <x:c r="A95" s="6" t="s">
        <x:v>550</x:v>
      </x:c>
      <x:c r="B95" s="6" t="s">
        <x:v>491</x:v>
      </x:c>
      <x:c r="C95" s="6" t="s">
        <x:v>492</x:v>
      </x:c>
      <x:c r="D95" s="7" t="s">
        <x:v>551</x:v>
      </x:c>
      <x:c r="E95" s="6" t="s">
        <x:v>552</x:v>
      </x:c>
      <x:c r="F95" s="6" t="s">
        <x:v>495</x:v>
      </x:c>
      <x:c r="G95" s="7" t="s">
        <x:v>553</x:v>
      </x:c>
      <x:c r="H95" s="47" t="str">
        <x:v>14521530</x:v>
      </x:c>
      <x:c r="I95" s="7" t="s">
        <x:v>554</x:v>
      </x:c>
      <x:c r="J95" s="6" t="n">
        <x:v>50.575132</x:v>
      </x:c>
      <x:c r="K95" s="6" t="n">
        <x:v>12.622955</x:v>
      </x:c>
      <x:c r="L95" s="7" t="n">
        <x:v>560</x:v>
      </x:c>
      <x:c r="M95" s="6" t="s">
        <x:v>555</x:v>
      </x:c>
      <x:c r="N95" s="9" t="s">
        <x:v>38</x:v>
      </x:c>
      <x:c r="O95" s="10" t="s">
        <x:v>556</x:v>
      </x:c>
    </x:row>
    <x:row r="96" ht="39.75" hidden="0" customHeight="1">
      <x:c r="A96" s="6" t="s">
        <x:v>557</x:v>
      </x:c>
      <x:c r="B96" s="6" t="s">
        <x:v>491</x:v>
      </x:c>
      <x:c r="C96" s="6" t="s">
        <x:v>492</x:v>
      </x:c>
      <x:c r="D96" s="7" t="s">
        <x:v>558</x:v>
      </x:c>
      <x:c r="E96" s="6" t="s">
        <x:v>244</x:v>
      </x:c>
      <x:c r="F96" s="6" t="s">
        <x:v>495</x:v>
      </x:c>
      <x:c r="G96" s="7" t="s">
        <x:v>496</x:v>
      </x:c>
      <x:c r="H96" s="47" t="str">
        <x:v>14511000</x:v>
      </x:c>
      <x:c r="I96" s="7" t="s">
        <x:v>559</x:v>
      </x:c>
      <x:c r="J96" s="6" t="n">
        <x:v>50.868561</x:v>
      </x:c>
      <x:c r="K96" s="6" t="n">
        <x:v>12.943445</x:v>
      </x:c>
      <x:c r="L96" s="7" t="n">
        <x:v>720</x:v>
      </x:c>
      <x:c r="M96" s="6" t="s">
        <x:v>560</x:v>
      </x:c>
      <x:c r="N96" s="9" t="s">
        <x:v>38</x:v>
      </x:c>
      <x:c r="O96" s="10" t="s">
        <x:v>561</x:v>
      </x:c>
    </x:row>
    <x:row r="97" ht="39.75" hidden="0" customHeight="1">
      <x:c r="A97" s="6" t="s">
        <x:v>562</x:v>
      </x:c>
      <x:c r="B97" s="6" t="s">
        <x:v>491</x:v>
      </x:c>
      <x:c r="C97" s="6" t="s">
        <x:v>492</x:v>
      </x:c>
      <x:c r="D97" s="7" t="s">
        <x:v>563</x:v>
      </x:c>
      <x:c r="E97" s="6" t="s">
        <x:v>244</x:v>
      </x:c>
      <x:c r="F97" s="6" t="s">
        <x:v>495</x:v>
      </x:c>
      <x:c r="G97" s="7" t="s">
        <x:v>515</x:v>
      </x:c>
      <x:c r="H97" s="47" t="str">
        <x:v>14612000</x:v>
      </x:c>
      <x:c r="I97" s="7" t="s">
        <x:v>564</x:v>
      </x:c>
      <x:c r="J97" s="6" t="n">
        <x:v>51.089911</x:v>
      </x:c>
      <x:c r="K97" s="6" t="n">
        <x:v>13.743836</x:v>
      </x:c>
      <x:c r="L97" s="7" t="n">
        <x:v>400</x:v>
      </x:c>
      <x:c r="M97" s="6" t="s">
        <x:v>565</x:v>
      </x:c>
      <x:c r="N97" s="9" t="s">
        <x:v>38</x:v>
      </x:c>
      <x:c r="O97" s="10" t="s">
        <x:v>566</x:v>
      </x:c>
    </x:row>
    <x:row r="98" ht="39.75" hidden="0" customHeight="1">
      <x:c r="A98" s="6" t="s">
        <x:v>567</x:v>
      </x:c>
      <x:c r="B98" s="6" t="s">
        <x:v>491</x:v>
      </x:c>
      <x:c r="C98" s="6" t="s">
        <x:v>492</x:v>
      </x:c>
      <x:c r="D98" s="7" t="s">
        <x:v>568</x:v>
      </x:c>
      <x:c r="E98" s="6" t="s">
        <x:v>244</x:v>
      </x:c>
      <x:c r="F98" s="6" t="s">
        <x:v>495</x:v>
      </x:c>
      <x:c r="G98" s="7" t="s">
        <x:v>534</x:v>
      </x:c>
      <x:c r="H98" s="47" t="str">
        <x:v>14713000</x:v>
      </x:c>
      <x:c r="I98" s="7" t="s">
        <x:v>569</x:v>
      </x:c>
      <x:c r="J98" s="6" t="n">
        <x:v>51.373503</x:v>
      </x:c>
      <x:c r="K98" s="6" t="n">
        <x:v>12.350392</x:v>
      </x:c>
      <x:c r="L98" s="7" t="n">
        <x:v>920</x:v>
      </x:c>
      <x:c r="M98" s="6" t="s">
        <x:v>511</x:v>
      </x:c>
      <x:c r="N98" s="9" t="s">
        <x:v>38</x:v>
      </x:c>
      <x:c r="O98" s="10" t="s">
        <x:v>570</x:v>
      </x:c>
    </x:row>
    <x:row r="99" ht="39.75" hidden="0" customHeight="1">
      <x:c r="A99" s="6" t="s">
        <x:v>571</x:v>
      </x:c>
      <x:c r="B99" s="6" t="s">
        <x:v>572</x:v>
      </x:c>
      <x:c r="C99" s="6" t="s">
        <x:v>573</x:v>
      </x:c>
      <x:c r="D99" s="7" t="s">
        <x:v>574</x:v>
      </x:c>
      <x:c r="E99" s="6" t="s">
        <x:v>575</x:v>
      </x:c>
      <x:c r="F99" s="6" t="s">
        <x:v>576</x:v>
      </x:c>
      <x:c r="G99" s="7" t="s">
        <x:v>577</x:v>
      </x:c>
      <x:c r="H99" s="47" t="str">
        <x:v>15090535</x:v>
      </x:c>
      <x:c r="I99" s="6" t="s">
        <x:v>578</x:v>
      </x:c>
      <x:c r="J99" s="6" t="n">
        <x:v>52.580316</x:v>
      </x:c>
      <x:c r="K99" s="6" t="n">
        <x:v>11.827451</x:v>
      </x:c>
      <x:c r="L99" s="7" t="n">
        <x:v>500</x:v>
      </x:c>
      <x:c r="M99" s="6" t="s">
        <x:v>579</x:v>
      </x:c>
      <x:c r="N99" s="9" t="s">
        <x:v>83</x:v>
      </x:c>
      <x:c r="O99" s="10" t="s">
        <x:v>580</x:v>
      </x:c>
    </x:row>
    <x:row r="100" ht="39.75" hidden="0" customHeight="1">
      <x:c r="A100" s="6" t="s">
        <x:v>581</x:v>
      </x:c>
      <x:c r="B100" s="6" t="s">
        <x:v>572</x:v>
      </x:c>
      <x:c r="C100" s="6" t="s">
        <x:v>573</x:v>
      </x:c>
      <x:c r="D100" s="7" t="s">
        <x:v>582</x:v>
      </x:c>
      <x:c r="E100" s="6" t="s">
        <x:v>583</x:v>
      </x:c>
      <x:c r="F100" s="6" t="s">
        <x:v>576</x:v>
      </x:c>
      <x:c r="G100" s="7" t="s">
        <x:v>584</x:v>
      </x:c>
      <x:c r="H100" s="47" t="str">
        <x:v>15003000</x:v>
      </x:c>
      <x:c r="I100" s="6" t="s">
        <x:v>585</x:v>
      </x:c>
      <x:c r="J100" s="6" t="n">
        <x:v>52.142375</x:v>
      </x:c>
      <x:c r="K100" s="6" t="n">
        <x:v>11.683653</x:v>
      </x:c>
      <x:c r="L100" s="7"/>
      <x:c r="M100" s="6" t="s">
        <x:v>586</x:v>
      </x:c>
      <x:c r="N100" s="9" t="s">
        <x:v>38</x:v>
      </x:c>
      <x:c r="O100" s="10" t="s">
        <x:v>587</x:v>
      </x:c>
    </x:row>
    <x:row r="101" ht="39.75" hidden="0" customHeight="1">
      <x:c r="A101" s="6" t="s">
        <x:v>588</x:v>
      </x:c>
      <x:c r="B101" s="6" t="s">
        <x:v>572</x:v>
      </x:c>
      <x:c r="C101" s="6" t="s">
        <x:v>573</x:v>
      </x:c>
      <x:c r="D101" s="7" t="s">
        <x:v>589</x:v>
      </x:c>
      <x:c r="E101" s="6" t="s">
        <x:v>583</x:v>
      </x:c>
      <x:c r="F101" s="6" t="s">
        <x:v>576</x:v>
      </x:c>
      <x:c r="G101" s="7" t="s">
        <x:v>590</x:v>
      </x:c>
      <x:c r="H101" s="47" t="str">
        <x:v>15085235</x:v>
      </x:c>
      <x:c r="I101" s="6" t="s">
        <x:v>591</x:v>
      </x:c>
      <x:c r="J101" s="6" t="n">
        <x:v>51.783515</x:v>
      </x:c>
      <x:c r="K101" s="6" t="n">
        <x:v>11.130785</x:v>
      </x:c>
      <x:c r="L101" s="7"/>
      <x:c r="M101" s="6" t="s">
        <x:v>592</x:v>
      </x:c>
      <x:c r="N101" s="9" t="s">
        <x:v>83</x:v>
      </x:c>
      <x:c r="O101" s="10" t="s">
        <x:v>593</x:v>
      </x:c>
    </x:row>
    <x:row r="102" ht="39.75" hidden="0" customHeight="1">
      <x:c r="A102" s="6" t="s">
        <x:v>594</x:v>
      </x:c>
      <x:c r="B102" s="6" t="s">
        <x:v>572</x:v>
      </x:c>
      <x:c r="C102" s="6" t="s">
        <x:v>573</x:v>
      </x:c>
      <x:c r="D102" s="7" t="s">
        <x:v>595</x:v>
      </x:c>
      <x:c r="E102" s="6" t="s">
        <x:v>596</x:v>
      </x:c>
      <x:c r="F102" s="6" t="s">
        <x:v>576</x:v>
      </x:c>
      <x:c r="G102" s="7" t="s">
        <x:v>597</x:v>
      </x:c>
      <x:c r="H102" s="47" t="str">
        <x:v>15085135</x:v>
      </x:c>
      <x:c r="I102" s="6" t="s">
        <x:v>598</x:v>
      </x:c>
      <x:c r="J102" s="6" t="n">
        <x:v>51.860075</x:v>
      </x:c>
      <x:c r="K102" s="6" t="n">
        <x:v>11.04956</x:v>
      </x:c>
      <x:c r="L102" s="7"/>
      <x:c r="M102" s="6" t="s">
        <x:v>599</x:v>
      </x:c>
      <x:c r="N102" s="9" t="s">
        <x:v>38</x:v>
      </x:c>
      <x:c r="O102" s="10" t="s">
        <x:v>600</x:v>
      </x:c>
    </x:row>
    <x:row r="103" ht="39.75" hidden="0" customHeight="1">
      <x:c r="A103" s="6" t="s">
        <x:v>601</x:v>
      </x:c>
      <x:c r="B103" s="6" t="s">
        <x:v>602</x:v>
      </x:c>
      <x:c r="C103" s="6" t="s">
        <x:v>603</x:v>
      </x:c>
      <x:c r="D103" s="7" t="s">
        <x:v>604</x:v>
      </x:c>
      <x:c r="E103" s="6" t="s">
        <x:v>19</x:v>
      </x:c>
      <x:c r="F103" s="6" t="s">
        <x:v>605</x:v>
      </x:c>
      <x:c r="G103" s="7" t="s">
        <x:v>606</x:v>
      </x:c>
      <x:c r="H103" s="47" t="str">
        <x:v>16074018</x:v>
      </x:c>
      <x:c r="I103" s="6" t="s">
        <x:v>607</x:v>
      </x:c>
      <x:c r="J103" s="6" t="n">
        <x:v>50.9686064</x:v>
      </x:c>
      <x:c r="K103" s="6" t="n">
        <x:v>11.8926466</x:v>
      </x:c>
      <x:c r="L103" s="7" t="n">
        <x:v>177</x:v>
      </x:c>
      <x:c r="M103" s="6" t="s">
        <x:v>608</x:v>
      </x:c>
      <x:c r="N103" s="9" t="s">
        <x:v>24</x:v>
      </x:c>
      <x:c r="O103" s="10"/>
    </x:row>
    <x:row r="104" ht="39.75" hidden="0" customHeight="1">
      <x:c r="A104" s="6" t="s">
        <x:v>609</x:v>
      </x:c>
      <x:c r="B104" s="6" t="s">
        <x:v>602</x:v>
      </x:c>
      <x:c r="C104" s="6" t="s">
        <x:v>603</x:v>
      </x:c>
      <x:c r="D104" s="7" t="s">
        <x:v>610</x:v>
      </x:c>
      <x:c r="E104" s="6" t="s">
        <x:v>244</x:v>
      </x:c>
      <x:c r="F104" s="6" t="s">
        <x:v>605</x:v>
      </x:c>
      <x:c r="G104" s="7" t="s">
        <x:v>611</x:v>
      </x:c>
      <x:c r="H104" s="47" t="str">
        <x:v>16054000</x:v>
      </x:c>
      <x:c r="I104" s="8" t="s">
        <x:v>612</x:v>
      </x:c>
      <x:c r="J104" s="6" t="n">
        <x:v>50.590117</x:v>
      </x:c>
      <x:c r="K104" s="6" t="n">
        <x:v>10.706893</x:v>
      </x:c>
      <x:c r="L104" s="7" t="n">
        <x:v>500</x:v>
      </x:c>
      <x:c r="M104" s="6" t="s">
        <x:v>613</x:v>
      </x:c>
      <x:c r="N104" s="9" t="s">
        <x:v>38</x:v>
      </x:c>
      <x:c r="O104" s="10" t="s">
        <x:v>614</x:v>
      </x:c>
    </x:row>
    <x:row r="105" ht="39.75" hidden="0" customHeight="1">
      <x:c r="A105" s="6" t="s">
        <x:v>615</x:v>
      </x:c>
      <x:c r="B105" s="6" t="s">
        <x:v>113</x:v>
      </x:c>
      <x:c r="C105" s="6" t="s">
        <x:v>114</x:v>
      </x:c>
      <x:c r="D105" s="7" t="s">
        <x:v>616</x:v>
      </x:c>
      <x:c r="E105" s="6" t="s">
        <x:v>116</x:v>
      </x:c>
      <x:c r="F105" s="6" t="s">
        <x:v>117</x:v>
      </x:c>
      <x:c r="G105" s="7" t="s">
        <x:v>617</x:v>
      </x:c>
      <x:c r="H105" s="47" t="str">
        <x:v>09183148</x:v>
      </x:c>
      <x:c r="I105" s="6" t="s">
        <x:v>618</x:v>
      </x:c>
      <x:c r="J105" s="6" t="n">
        <x:v>48.1992938</x:v>
      </x:c>
      <x:c r="K105" s="6" t="n">
        <x:v>12.3933509</x:v>
      </x:c>
      <x:c r="L105" s="7" t="n">
        <x:v>450</x:v>
      </x:c>
      <x:c r="M105" s="6" t="s">
        <x:v>619</x:v>
      </x:c>
      <x:c r="N105" s="9" t="s">
        <x:v>620</x:v>
      </x:c>
      <x:c r="O105" s="10"/>
    </x:row>
    <x:row r="106" ht="39.75" hidden="0" customHeight="1">
      <x:c r="A106" s="9" t="s">
        <x:v>621</x:v>
      </x:c>
      <x:c r="B106" s="9" t="s">
        <x:v>250</x:v>
      </x:c>
      <x:c r="C106" s="9" t="s">
        <x:v>251</x:v>
      </x:c>
      <x:c r="D106" s="9" t="s">
        <x:v>622</x:v>
      </x:c>
      <x:c r="E106" s="9" t="s">
        <x:v>279</x:v>
      </x:c>
      <x:c r="F106" s="9" t="s">
        <x:v>253</x:v>
      </x:c>
      <x:c r="G106" s="9" t="s">
        <x:v>623</x:v>
      </x:c>
      <x:c r="H106" s="48" t="str">
        <x:v>06411000</x:v>
      </x:c>
      <x:c r="I106" s="9" t="s">
        <x:v>624</x:v>
      </x:c>
      <x:c r="J106" s="9" t="n">
        <x:v>49.8569298</x:v>
      </x:c>
      <x:c r="K106" s="9" t="n">
        <x:v>8.6289523</x:v>
      </x:c>
      <x:c r="L106" s="9" t="n">
        <x:v>750</x:v>
      </x:c>
      <x:c r="M106" s="9" t="s">
        <x:v>625</x:v>
      </x:c>
      <x:c r="N106" s="9" t="s">
        <x:v>49</x:v>
      </x:c>
      <x:c r="O106" s="10" t="s">
        <x:v>626</x:v>
      </x:c>
    </x:row>
    <x:row r="107" ht="39.75" hidden="0" customHeight="1">
      <x:c r="A107" s="15" t="s">
        <x:v>627</x:v>
      </x:c>
      <x:c r="B107" s="15" t="s">
        <x:v>250</x:v>
      </x:c>
      <x:c r="C107" s="15" t="s">
        <x:v>251</x:v>
      </x:c>
      <x:c r="D107" s="15" t="s">
        <x:v>628</x:v>
      </x:c>
      <x:c r="E107" s="15" t="s">
        <x:v>279</x:v>
      </x:c>
      <x:c r="F107" s="15" t="s">
        <x:v>253</x:v>
      </x:c>
      <x:c r="G107" s="15" t="s">
        <x:v>623</x:v>
      </x:c>
      <x:c r="H107" s="49" t="str">
        <x:v>06411000</x:v>
      </x:c>
      <x:c r="I107" s="15" t="s">
        <x:v>629</x:v>
      </x:c>
      <x:c r="J107" s="15" t="n">
        <x:v>49.8788599</x:v>
      </x:c>
      <x:c r="K107" s="15" t="n">
        <x:v>8.6196072</x:v>
      </x:c>
      <x:c r="L107" s="15" t="n">
        <x:v>600</x:v>
      </x:c>
      <x:c r="M107" s="15" t="s">
        <x:v>630</x:v>
      </x:c>
      <x:c r="N107" s="15" t="s">
        <x:v>38</x:v>
      </x:c>
      <x:c r="O107" s="15" t="s">
        <x:v>631</x:v>
      </x:c>
    </x:row>
    <x:row r="108" ht="39.75" hidden="0" customHeight="1">
      <x:c r="A108" s="15" t="s">
        <x:v>632</x:v>
      </x:c>
      <x:c r="B108" s="15" t="s">
        <x:v>250</x:v>
      </x:c>
      <x:c r="C108" s="15" t="s">
        <x:v>251</x:v>
      </x:c>
      <x:c r="D108" s="15" t="s">
        <x:v>633</x:v>
      </x:c>
      <x:c r="E108" s="15" t="s">
        <x:v>279</x:v>
      </x:c>
      <x:c r="F108" s="15" t="s">
        <x:v>253</x:v>
      </x:c>
      <x:c r="G108" s="15" t="s">
        <x:v>634</x:v>
      </x:c>
      <x:c r="H108" s="49" t="str">
        <x:v>06440008</x:v>
      </x:c>
      <x:c r="I108" s="15" t="s">
        <x:v>635</x:v>
      </x:c>
      <x:c r="J108" s="15" t="n">
        <x:v>50.3247736</x:v>
      </x:c>
      <x:c r="K108" s="15" t="n">
        <x:v>8.7609652</x:v>
      </x:c>
      <x:c r="L108" s="15" t="n">
        <x:v>1000</x:v>
      </x:c>
      <x:c r="M108" s="15" t="s">
        <x:v>636</x:v>
      </x:c>
      <x:c r="N108" s="15" t="s">
        <x:v>83</x:v>
      </x:c>
      <x:c r="O108" s="15" t="s">
        <x:v>637</x:v>
      </x:c>
    </x:row>
    <x:row r="109" ht="39.75" hidden="0" customHeight="1">
      <x:c r="A109" s="15" t="s">
        <x:v>638</x:v>
      </x:c>
      <x:c r="B109" s="15" t="s">
        <x:v>250</x:v>
      </x:c>
      <x:c r="C109" s="15" t="s">
        <x:v>251</x:v>
      </x:c>
      <x:c r="D109" s="15" t="s">
        <x:v>639</x:v>
      </x:c>
      <x:c r="E109" s="15" t="s">
        <x:v>279</x:v>
      </x:c>
      <x:c r="F109" s="15" t="s">
        <x:v>253</x:v>
      </x:c>
      <x:c r="G109" s="15" t="s">
        <x:v>640</x:v>
      </x:c>
      <x:c r="H109" s="49" t="str">
        <x:v>06635002</x:v>
      </x:c>
      <x:c r="I109" s="15" t="s">
        <x:v>641</x:v>
      </x:c>
      <x:c r="J109" s="15" t="n">
        <x:v>51.3663338</x:v>
      </x:c>
      <x:c r="K109" s="15" t="n">
        <x:v>8.9858435</x:v>
      </x:c>
      <x:c r="L109" s="15" t="n">
        <x:v>350</x:v>
      </x:c>
      <x:c r="M109" s="15" t="s">
        <x:v>642</x:v>
      </x:c>
      <x:c r="N109" s="15" t="s">
        <x:v>643</x:v>
      </x:c>
      <x:c r="O109" s="15" t="s">
        <x:v>644</x:v>
      </x:c>
    </x:row>
    <x:row r="110" ht="39.75" hidden="0" customHeight="1">
      <x:c r="A110" s="15" t="s">
        <x:v>645</x:v>
      </x:c>
      <x:c r="B110" s="15" t="s">
        <x:v>113</x:v>
      </x:c>
      <x:c r="C110" s="15" t="s">
        <x:v>114</x:v>
      </x:c>
      <x:c r="D110" s="15" t="s">
        <x:v>646</x:v>
      </x:c>
      <x:c r="E110" s="15" t="s">
        <x:v>116</x:v>
      </x:c>
      <x:c r="F110" s="15" t="s">
        <x:v>117</x:v>
      </x:c>
      <x:c r="G110" s="15" t="s">
        <x:v>647</x:v>
      </x:c>
      <x:c r="H110" s="49" t="str">
        <x:v>09771146</x:v>
      </x:c>
      <x:c r="I110" s="15" t="s">
        <x:v>648</x:v>
      </x:c>
      <x:c r="J110" s="15" t="n">
        <x:v>48.2739462</x:v>
      </x:c>
      <x:c r="K110" s="15" t="n">
        <x:v>10.9904997</x:v>
      </x:c>
      <x:c r="L110" s="15" t="n">
        <x:v>176</x:v>
      </x:c>
      <x:c r="M110" s="15" t="s">
        <x:v>649</x:v>
      </x:c>
      <x:c r="N110" s="15" t="s">
        <x:v>83</x:v>
      </x:c>
      <x:c r="O110" s="15" t="s">
        <x:v>650</x:v>
      </x:c>
    </x:row>
    <x:row r="111" ht="39.75" hidden="0" customHeight="1">
      <x:c r="A111" s="15" t="s">
        <x:v>651</x:v>
      </x:c>
      <x:c r="B111" s="15" t="s">
        <x:v>113</x:v>
      </x:c>
      <x:c r="C111" s="15" t="s">
        <x:v>114</x:v>
      </x:c>
      <x:c r="D111" s="15" t="s">
        <x:v>652</x:v>
      </x:c>
      <x:c r="E111" s="15" t="s">
        <x:v>116</x:v>
      </x:c>
      <x:c r="F111" s="15" t="s">
        <x:v>117</x:v>
      </x:c>
      <x:c r="G111" s="15" t="s">
        <x:v>653</x:v>
      </x:c>
      <x:c r="H111" s="49" t="str">
        <x:v>09775135</x:v>
      </x:c>
      <x:c r="I111" s="15" t="s">
        <x:v>654</x:v>
      </x:c>
      <x:c r="J111" s="15" t="n">
        <x:v>48.3968979</x:v>
      </x:c>
      <x:c r="K111" s="15" t="n">
        <x:v>10.0206454</x:v>
      </x:c>
      <x:c r="L111" s="15" t="n">
        <x:v>250</x:v>
      </x:c>
      <x:c r="M111" s="15" t="s">
        <x:v>655</x:v>
      </x:c>
      <x:c r="N111" s="15" t="s">
        <x:v>83</x:v>
      </x:c>
      <x:c r="O111" s="15" t="s">
        <x:v>656</x:v>
      </x:c>
    </x:row>
    <x:row r="112" ht="39.75" hidden="0" customHeight="1">
      <x:c r="A112" s="15" t="s">
        <x:v>657</x:v>
      </x:c>
      <x:c r="B112" s="15" t="s">
        <x:v>658</x:v>
      </x:c>
      <x:c r="C112" s="15" t="s">
        <x:v>659</x:v>
      </x:c>
      <x:c r="D112" s="15" t="s">
        <x:v>660</x:v>
      </x:c>
      <x:c r="E112" s="15" t="s">
        <x:v>661</x:v>
      </x:c>
      <x:c r="F112" s="15" t="s">
        <x:v>662</x:v>
      </x:c>
      <x:c r="G112" s="15" t="s">
        <x:v>659</x:v>
      </x:c>
      <x:c r="H112" s="49" t="str">
        <x:v>11000000</x:v>
      </x:c>
      <x:c r="I112" s="15" t="s">
        <x:v>663</x:v>
      </x:c>
      <x:c r="J112" s="15" t="n">
        <x:v>52.5160257</x:v>
      </x:c>
      <x:c r="K112" s="15" t="n">
        <x:v>13.2678142</x:v>
      </x:c>
      <x:c r="L112" s="15" t="n">
        <x:v>90</x:v>
      </x:c>
      <x:c r="M112" s="15" t="s">
        <x:v>664</x:v>
      </x:c>
      <x:c r="N112" s="15" t="s">
        <x:v>83</x:v>
      </x:c>
      <x:c r="O112" s="15" t="s">
        <x:v>665</x:v>
      </x:c>
    </x:row>
    <x:row r="113" ht="39.75" hidden="0" customHeight="1">
      <x:c r="A113" s="16" t="s">
        <x:v>666</x:v>
      </x:c>
      <x:c r="B113" s="16" t="s">
        <x:v>658</x:v>
      </x:c>
      <x:c r="C113" s="16" t="s">
        <x:v>659</x:v>
      </x:c>
      <x:c r="D113" s="16" t="s">
        <x:v>667</x:v>
      </x:c>
      <x:c r="E113" s="16" t="s">
        <x:v>661</x:v>
      </x:c>
      <x:c r="F113" s="16" t="s">
        <x:v>668</x:v>
      </x:c>
      <x:c r="G113" s="16" t="s">
        <x:v>659</x:v>
      </x:c>
      <x:c r="H113" s="50" t="str">
        <x:v>11000000</x:v>
      </x:c>
      <x:c r="I113" s="16" t="s">
        <x:v>669</x:v>
      </x:c>
      <x:c r="J113" s="16" t="n">
        <x:v>52.5104015</x:v>
      </x:c>
      <x:c r="K113" s="16" t="n">
        <x:v>13.4535754</x:v>
      </x:c>
      <x:c r="L113" s="16" t="n">
        <x:v>273</x:v>
      </x:c>
      <x:c r="M113" s="16" t="s">
        <x:v>670</x:v>
      </x:c>
      <x:c r="N113" s="16" t="s">
        <x:v>83</x:v>
      </x:c>
      <x:c r="O113" s="16" t="s">
        <x:v>671</x:v>
      </x:c>
    </x:row>
    <x:row r="114" s="2" customFormat="1" ht="39.75" hidden="0" customHeight="1">
      <x:c r="A114" s="16" t="s">
        <x:v>672</x:v>
      </x:c>
      <x:c r="B114" s="16" t="s">
        <x:v>658</x:v>
      </x:c>
      <x:c r="C114" s="16" t="s">
        <x:v>659</x:v>
      </x:c>
      <x:c r="D114" s="16" t="s">
        <x:v>673</x:v>
      </x:c>
      <x:c r="E114" s="16" t="s">
        <x:v>661</x:v>
      </x:c>
      <x:c r="F114" s="16" t="s">
        <x:v>662</x:v>
      </x:c>
      <x:c r="G114" s="16" t="s">
        <x:v>659</x:v>
      </x:c>
      <x:c r="H114" s="50" t="str">
        <x:v>11000000</x:v>
      </x:c>
      <x:c r="I114" s="16" t="s">
        <x:v>674</x:v>
      </x:c>
      <x:c r="J114" s="16" t="n">
        <x:v>52.5039457</x:v>
      </x:c>
      <x:c r="K114" s="16" t="n">
        <x:v>13.4488378</x:v>
      </x:c>
      <x:c r="L114" s="16" t="n">
        <x:v>386</x:v>
      </x:c>
      <x:c r="M114" s="16" t="s">
        <x:v>675</x:v>
      </x:c>
      <x:c r="N114" s="16" t="s">
        <x:v>83</x:v>
      </x:c>
      <x:c r="O114" s="16" t="s">
        <x:v>676</x:v>
      </x:c>
    </x:row>
    <x:row r="115" ht="39.75" hidden="0" customHeight="1">
      <x:c r="A115" s="16" t="s">
        <x:v>677</x:v>
      </x:c>
      <x:c r="B115" s="16" t="s">
        <x:v>658</x:v>
      </x:c>
      <x:c r="C115" s="16" t="s">
        <x:v>659</x:v>
      </x:c>
      <x:c r="D115" s="16" t="s">
        <x:v>678</x:v>
      </x:c>
      <x:c r="E115" s="16" t="s">
        <x:v>661</x:v>
      </x:c>
      <x:c r="F115" s="16" t="s">
        <x:v>679</x:v>
      </x:c>
      <x:c r="G115" s="16" t="s">
        <x:v>659</x:v>
      </x:c>
      <x:c r="H115" s="50" t="str">
        <x:v>11000000</x:v>
      </x:c>
      <x:c r="I115" s="16" t="s">
        <x:v>680</x:v>
      </x:c>
      <x:c r="J115" s="16" t="n">
        <x:v>52.5101726</x:v>
      </x:c>
      <x:c r="K115" s="16" t="n">
        <x:v>13.5187724</x:v>
      </x:c>
      <x:c r="L115" s="16" t="n">
        <x:v>362</x:v>
      </x:c>
      <x:c r="M115" s="16" t="s">
        <x:v>681</x:v>
      </x:c>
      <x:c r="N115" s="16" t="s">
        <x:v>83</x:v>
      </x:c>
      <x:c r="O115" s="16" t="s">
        <x:v>682</x:v>
      </x:c>
    </x:row>
    <x:row r="116" ht="39.75" hidden="0" customHeight="1">
      <x:c r="A116" s="16" t="s">
        <x:v>683</x:v>
      </x:c>
      <x:c r="B116" s="16" t="s">
        <x:v>658</x:v>
      </x:c>
      <x:c r="C116" s="16" t="s">
        <x:v>659</x:v>
      </x:c>
      <x:c r="D116" s="16" t="s">
        <x:v>684</x:v>
      </x:c>
      <x:c r="E116" s="16" t="s">
        <x:v>661</x:v>
      </x:c>
      <x:c r="F116" s="16" t="s">
        <x:v>685</x:v>
      </x:c>
      <x:c r="G116" s="16" t="s">
        <x:v>659</x:v>
      </x:c>
      <x:c r="H116" s="50" t="str">
        <x:v>11000000</x:v>
      </x:c>
      <x:c r="I116" s="16" t="s">
        <x:v>686</x:v>
      </x:c>
      <x:c r="J116" s="16" t="n">
        <x:v>52.5168593</x:v>
      </x:c>
      <x:c r="K116" s="16" t="n">
        <x:v>13.4968512</x:v>
      </x:c>
      <x:c r="L116" s="16" t="n">
        <x:v>95</x:v>
      </x:c>
      <x:c r="M116" s="16" t="s">
        <x:v>687</x:v>
      </x:c>
      <x:c r="N116" s="16" t="s">
        <x:v>83</x:v>
      </x:c>
      <x:c r="O116" s="16" t="s">
        <x:v>688</x:v>
      </x:c>
    </x:row>
    <x:row r="117" ht="39.75" hidden="0" customHeight="1">
      <x:c r="A117" s="16" t="s">
        <x:v>689</x:v>
      </x:c>
      <x:c r="B117" s="16" t="s">
        <x:v>658</x:v>
      </x:c>
      <x:c r="C117" s="16" t="s">
        <x:v>659</x:v>
      </x:c>
      <x:c r="D117" s="16" t="s">
        <x:v>690</x:v>
      </x:c>
      <x:c r="E117" s="16" t="s">
        <x:v>661</x:v>
      </x:c>
      <x:c r="F117" s="16" t="s">
        <x:v>679</x:v>
      </x:c>
      <x:c r="G117" s="16" t="s">
        <x:v>659</x:v>
      </x:c>
      <x:c r="H117" s="50" t="str">
        <x:v>11000000</x:v>
      </x:c>
      <x:c r="I117" s="16" t="s">
        <x:v>691</x:v>
      </x:c>
      <x:c r="J117" s="16" t="n">
        <x:v>52.5739541</x:v>
      </x:c>
      <x:c r="K117" s="16" t="n">
        <x:v>13.5437724</x:v>
      </x:c>
      <x:c r="L117" s="16" t="n">
        <x:v>235</x:v>
      </x:c>
      <x:c r="M117" s="16" t="s">
        <x:v>692</x:v>
      </x:c>
      <x:c r="N117" s="16" t="s">
        <x:v>83</x:v>
      </x:c>
      <x:c r="O117" s="16" t="s">
        <x:v>693</x:v>
      </x:c>
    </x:row>
    <x:row r="118" ht="39.75" hidden="0" customHeight="1">
      <x:c r="A118" s="16" t="s">
        <x:v>694</x:v>
      </x:c>
      <x:c r="B118" s="16" t="s">
        <x:v>658</x:v>
      </x:c>
      <x:c r="C118" s="16" t="s">
        <x:v>659</x:v>
      </x:c>
      <x:c r="D118" s="16" t="s">
        <x:v>695</x:v>
      </x:c>
      <x:c r="E118" s="16" t="s">
        <x:v>661</x:v>
      </x:c>
      <x:c r="F118" s="16" t="s">
        <x:v>696</x:v>
      </x:c>
      <x:c r="G118" s="16" t="s">
        <x:v>659</x:v>
      </x:c>
      <x:c r="H118" s="50" t="str">
        <x:v>11000000</x:v>
      </x:c>
      <x:c r="I118" s="16" t="s">
        <x:v>697</x:v>
      </x:c>
      <x:c r="J118" s="16" t="n">
        <x:v>52.5099171</x:v>
      </x:c>
      <x:c r="K118" s="16" t="n">
        <x:v>13.5635958</x:v>
      </x:c>
      <x:c r="L118" s="16" t="n">
        <x:v>290</x:v>
      </x:c>
      <x:c r="M118" s="16" t="s">
        <x:v>698</x:v>
      </x:c>
      <x:c r="N118" s="16" t="s">
        <x:v>83</x:v>
      </x:c>
      <x:c r="O118" s="16" t="s">
        <x:v>699</x:v>
      </x:c>
    </x:row>
    <x:row r="119" ht="39.75" hidden="0" customHeight="1">
      <x:c r="A119" s="16" t="s">
        <x:v>700</x:v>
      </x:c>
      <x:c r="B119" s="16" t="s">
        <x:v>658</x:v>
      </x:c>
      <x:c r="C119" s="16" t="s">
        <x:v>659</x:v>
      </x:c>
      <x:c r="D119" s="16" t="s">
        <x:v>701</x:v>
      </x:c>
      <x:c r="E119" s="16" t="s">
        <x:v>661</x:v>
      </x:c>
      <x:c r="F119" s="16" t="s">
        <x:v>702</x:v>
      </x:c>
      <x:c r="G119" s="16" t="s">
        <x:v>659</x:v>
      </x:c>
      <x:c r="H119" s="50" t="str">
        <x:v>11000000</x:v>
      </x:c>
      <x:c r="I119" s="16" t="s">
        <x:v>703</x:v>
      </x:c>
      <x:c r="J119" s="16" t="n">
        <x:v>52.5416865</x:v>
      </x:c>
      <x:c r="K119" s="16" t="n">
        <x:v>13.5701646</x:v>
      </x:c>
      <x:c r="L119" s="16" t="n">
        <x:v>301</x:v>
      </x:c>
      <x:c r="M119" s="16" t="s">
        <x:v>704</x:v>
      </x:c>
      <x:c r="N119" s="16" t="s">
        <x:v>83</x:v>
      </x:c>
      <x:c r="O119" s="16" t="s">
        <x:v>705</x:v>
      </x:c>
    </x:row>
    <x:row r="120" ht="39.75" hidden="0" customHeight="1">
      <x:c r="A120" s="16" t="s">
        <x:v>706</x:v>
      </x:c>
      <x:c r="B120" s="16" t="s">
        <x:v>658</x:v>
      </x:c>
      <x:c r="C120" s="16" t="s">
        <x:v>659</x:v>
      </x:c>
      <x:c r="D120" s="16" t="s">
        <x:v>707</x:v>
      </x:c>
      <x:c r="E120" s="16" t="s">
        <x:v>661</x:v>
      </x:c>
      <x:c r="F120" s="16" t="s">
        <x:v>702</x:v>
      </x:c>
      <x:c r="G120" s="16" t="s">
        <x:v>659</x:v>
      </x:c>
      <x:c r="H120" s="50" t="str">
        <x:v>11000000</x:v>
      </x:c>
      <x:c r="I120" s="16" t="s">
        <x:v>708</x:v>
      </x:c>
      <x:c r="J120" s="16" t="n">
        <x:v>52.5272427</x:v>
      </x:c>
      <x:c r="K120" s="16" t="n">
        <x:v>13.3721475</x:v>
      </x:c>
      <x:c r="L120" s="16" t="n">
        <x:v>262</x:v>
      </x:c>
      <x:c r="M120" s="16" t="s">
        <x:v>709</x:v>
      </x:c>
      <x:c r="N120" s="16" t="s">
        <x:v>83</x:v>
      </x:c>
      <x:c r="O120" s="16" t="s">
        <x:v>710</x:v>
      </x:c>
    </x:row>
    <x:row r="121" ht="39.75" hidden="0" customHeight="1">
      <x:c r="A121" s="16" t="s">
        <x:v>711</x:v>
      </x:c>
      <x:c r="B121" s="16" t="s">
        <x:v>658</x:v>
      </x:c>
      <x:c r="C121" s="16" t="s">
        <x:v>659</x:v>
      </x:c>
      <x:c r="D121" s="16" t="s">
        <x:v>712</x:v>
      </x:c>
      <x:c r="E121" s="16" t="s">
        <x:v>661</x:v>
      </x:c>
      <x:c r="F121" s="16" t="s">
        <x:v>713</x:v>
      </x:c>
      <x:c r="G121" s="16" t="s">
        <x:v>659</x:v>
      </x:c>
      <x:c r="H121" s="50" t="str">
        <x:v>11000000</x:v>
      </x:c>
      <x:c r="I121" s="16" t="s">
        <x:v>714</x:v>
      </x:c>
      <x:c r="J121" s="16" t="n">
        <x:v>52.6114427</x:v>
      </x:c>
      <x:c r="K121" s="16" t="n">
        <x:v>13.4099856</x:v>
      </x:c>
      <x:c r="L121" s="16" t="n">
        <x:v>340</x:v>
      </x:c>
      <x:c r="M121" s="16" t="s">
        <x:v>715</x:v>
      </x:c>
      <x:c r="N121" s="16" t="s">
        <x:v>83</x:v>
      </x:c>
      <x:c r="O121" s="16" t="s">
        <x:v>716</x:v>
      </x:c>
    </x:row>
    <x:row r="122" ht="39.75" hidden="0" customHeight="1">
      <x:c r="A122" s="16" t="s">
        <x:v>717</x:v>
      </x:c>
      <x:c r="B122" s="16" t="s">
        <x:v>658</x:v>
      </x:c>
      <x:c r="C122" s="16" t="s">
        <x:v>659</x:v>
      </x:c>
      <x:c r="D122" s="16" t="s">
        <x:v>718</x:v>
      </x:c>
      <x:c r="E122" s="16" t="s">
        <x:v>661</x:v>
      </x:c>
      <x:c r="F122" s="16" t="s">
        <x:v>662</x:v>
      </x:c>
      <x:c r="G122" s="16" t="s">
        <x:v>659</x:v>
      </x:c>
      <x:c r="H122" s="50" t="str">
        <x:v>11000000</x:v>
      </x:c>
      <x:c r="I122" s="16" t="s">
        <x:v>719</x:v>
      </x:c>
      <x:c r="J122" s="16" t="n">
        <x:v>52.5616284</x:v>
      </x:c>
      <x:c r="K122" s="16" t="n">
        <x:v>13.4290941</x:v>
      </x:c>
      <x:c r="L122" s="16" t="n">
        <x:v>218</x:v>
      </x:c>
      <x:c r="M122" s="16" t="s">
        <x:v>720</x:v>
      </x:c>
      <x:c r="N122" s="16" t="s">
        <x:v>83</x:v>
      </x:c>
      <x:c r="O122" s="16" t="s">
        <x:v>721</x:v>
      </x:c>
    </x:row>
    <x:row r="123" ht="39.75" hidden="0" customHeight="1">
      <x:c r="A123" s="16" t="s">
        <x:v>722</x:v>
      </x:c>
      <x:c r="B123" s="16" t="s">
        <x:v>658</x:v>
      </x:c>
      <x:c r="C123" s="16" t="s">
        <x:v>659</x:v>
      </x:c>
      <x:c r="D123" s="16" t="s">
        <x:v>723</x:v>
      </x:c>
      <x:c r="E123" s="16" t="s">
        <x:v>661</x:v>
      </x:c>
      <x:c r="F123" s="16" t="s">
        <x:v>696</x:v>
      </x:c>
      <x:c r="G123" s="16" t="s">
        <x:v>659</x:v>
      </x:c>
      <x:c r="H123" s="50" t="str">
        <x:v>11000000</x:v>
      </x:c>
      <x:c r="I123" s="16" t="s">
        <x:v>724</x:v>
      </x:c>
      <x:c r="J123" s="16" t="n">
        <x:v>52.6121073</x:v>
      </x:c>
      <x:c r="K123" s="16" t="n">
        <x:v>13.4911781</x:v>
      </x:c>
      <x:c r="L123" s="16" t="n">
        <x:v>296</x:v>
      </x:c>
      <x:c r="M123" s="16" t="s">
        <x:v>725</x:v>
      </x:c>
      <x:c r="N123" s="16" t="s">
        <x:v>83</x:v>
      </x:c>
      <x:c r="O123" s="16" t="s">
        <x:v>726</x:v>
      </x:c>
    </x:row>
    <x:row r="124" ht="39.75" hidden="0" customHeight="1">
      <x:c r="A124" s="16" t="s">
        <x:v>727</x:v>
      </x:c>
      <x:c r="B124" s="16" t="s">
        <x:v>658</x:v>
      </x:c>
      <x:c r="C124" s="16" t="s">
        <x:v>659</x:v>
      </x:c>
      <x:c r="D124" s="16" t="s">
        <x:v>728</x:v>
      </x:c>
      <x:c r="E124" s="16" t="s">
        <x:v>661</x:v>
      </x:c>
      <x:c r="F124" s="16" t="s">
        <x:v>729</x:v>
      </x:c>
      <x:c r="G124" s="16" t="s">
        <x:v>659</x:v>
      </x:c>
      <x:c r="H124" s="50" t="str">
        <x:v>11000000</x:v>
      </x:c>
      <x:c r="I124" s="16" t="s">
        <x:v>730</x:v>
      </x:c>
      <x:c r="J124" s="16" t="n">
        <x:v>52.53851</x:v>
      </x:c>
      <x:c r="K124" s="16" t="n">
        <x:v>13.2947719</x:v>
      </x:c>
      <x:c r="L124" s="16" t="n">
        <x:v>312</x:v>
      </x:c>
      <x:c r="M124" s="16" t="s">
        <x:v>731</x:v>
      </x:c>
      <x:c r="N124" s="16" t="s">
        <x:v>83</x:v>
      </x:c>
      <x:c r="O124" s="16" t="s">
        <x:v>732</x:v>
      </x:c>
    </x:row>
    <x:row r="125" ht="39.75" hidden="0" customHeight="1">
      <x:c r="A125" s="16" t="s">
        <x:v>733</x:v>
      </x:c>
      <x:c r="B125" s="16" t="s">
        <x:v>658</x:v>
      </x:c>
      <x:c r="C125" s="16" t="s">
        <x:v>659</x:v>
      </x:c>
      <x:c r="D125" s="16" t="s">
        <x:v>734</x:v>
      </x:c>
      <x:c r="E125" s="16" t="s">
        <x:v>661</x:v>
      </x:c>
      <x:c r="F125" s="16" t="s">
        <x:v>662</x:v>
      </x:c>
      <x:c r="G125" s="16" t="s">
        <x:v>659</x:v>
      </x:c>
      <x:c r="H125" s="50" t="str">
        <x:v>11000000</x:v>
      </x:c>
      <x:c r="I125" s="16" t="s">
        <x:v>735</x:v>
      </x:c>
      <x:c r="J125" s="16" t="n">
        <x:v>52.5429055</x:v>
      </x:c>
      <x:c r="K125" s="16" t="n">
        <x:v>13.1959725</x:v>
      </x:c>
      <x:c r="L125" s="16" t="n">
        <x:v>301</x:v>
      </x:c>
      <x:c r="M125" s="16" t="s">
        <x:v>736</x:v>
      </x:c>
      <x:c r="N125" s="16" t="s">
        <x:v>83</x:v>
      </x:c>
      <x:c r="O125" s="16" t="s">
        <x:v>737</x:v>
      </x:c>
    </x:row>
    <x:row r="126" ht="39.75" hidden="0" customHeight="1">
      <x:c r="A126" s="16" t="s">
        <x:v>738</x:v>
      </x:c>
      <x:c r="B126" s="16" t="s">
        <x:v>658</x:v>
      </x:c>
      <x:c r="C126" s="16" t="s">
        <x:v>659</x:v>
      </x:c>
      <x:c r="D126" s="16" t="s">
        <x:v>739</x:v>
      </x:c>
      <x:c r="E126" s="16" t="s">
        <x:v>661</x:v>
      </x:c>
      <x:c r="F126" s="16" t="s">
        <x:v>696</x:v>
      </x:c>
      <x:c r="G126" s="16" t="s">
        <x:v>659</x:v>
      </x:c>
      <x:c r="H126" s="50" t="str">
        <x:v>11000000</x:v>
      </x:c>
      <x:c r="I126" s="16" t="s">
        <x:v>740</x:v>
      </x:c>
      <x:c r="J126" s="16" t="n">
        <x:v>52.4284443</x:v>
      </x:c>
      <x:c r="K126" s="16" t="n">
        <x:v>13.1600887</x:v>
      </x:c>
      <x:c r="L126" s="16" t="n">
        <x:v>207</x:v>
      </x:c>
      <x:c r="M126" s="16" t="s">
        <x:v>741</x:v>
      </x:c>
      <x:c r="N126" s="16" t="s">
        <x:v>83</x:v>
      </x:c>
      <x:c r="O126" s="16" t="s">
        <x:v>742</x:v>
      </x:c>
    </x:row>
    <x:row r="127" ht="39.75" hidden="0" customHeight="1">
      <x:c r="A127" s="16" t="s">
        <x:v>743</x:v>
      </x:c>
      <x:c r="B127" s="16" t="s">
        <x:v>658</x:v>
      </x:c>
      <x:c r="C127" s="16" t="s">
        <x:v>659</x:v>
      </x:c>
      <x:c r="D127" s="16" t="s">
        <x:v>744</x:v>
      </x:c>
      <x:c r="E127" s="16" t="s">
        <x:v>661</x:v>
      </x:c>
      <x:c r="F127" s="16" t="s">
        <x:v>745</x:v>
      </x:c>
      <x:c r="G127" s="16" t="s">
        <x:v>659</x:v>
      </x:c>
      <x:c r="H127" s="50" t="str">
        <x:v>11000000</x:v>
      </x:c>
      <x:c r="I127" s="16" t="s">
        <x:v>746</x:v>
      </x:c>
      <x:c r="J127" s="16" t="n">
        <x:v>52.3978768</x:v>
      </x:c>
      <x:c r="K127" s="16" t="n">
        <x:v>13.5368276</x:v>
      </x:c>
      <x:c r="L127" s="16" t="n">
        <x:v>409</x:v>
      </x:c>
      <x:c r="M127" s="16" t="s">
        <x:v>747</x:v>
      </x:c>
      <x:c r="N127" s="16" t="s">
        <x:v>83</x:v>
      </x:c>
      <x:c r="O127" s="16" t="s">
        <x:v>748</x:v>
      </x:c>
    </x:row>
    <x:row r="128" ht="39.75" hidden="0" customHeight="1">
      <x:c r="A128" s="16" t="s">
        <x:v>749</x:v>
      </x:c>
      <x:c r="B128" s="16" t="s">
        <x:v>658</x:v>
      </x:c>
      <x:c r="C128" s="16" t="s">
        <x:v>659</x:v>
      </x:c>
      <x:c r="D128" s="16" t="s">
        <x:v>750</x:v>
      </x:c>
      <x:c r="E128" s="16" t="s">
        <x:v>661</x:v>
      </x:c>
      <x:c r="F128" s="16" t="s">
        <x:v>751</x:v>
      </x:c>
      <x:c r="G128" s="16" t="s">
        <x:v>659</x:v>
      </x:c>
      <x:c r="H128" s="50" t="str">
        <x:v>11000000</x:v>
      </x:c>
      <x:c r="I128" s="16" t="s">
        <x:v>752</x:v>
      </x:c>
      <x:c r="J128" s="16" t="n">
        <x:v>52.4929199</x:v>
      </x:c>
      <x:c r="K128" s="16" t="n">
        <x:v>13.4476772</x:v>
      </x:c>
      <x:c r="L128" s="16" t="n">
        <x:v>31</x:v>
      </x:c>
      <x:c r="M128" s="16" t="s">
        <x:v>753</x:v>
      </x:c>
      <x:c r="N128" s="16" t="s">
        <x:v>83</x:v>
      </x:c>
      <x:c r="O128" s="16" t="s">
        <x:v>754</x:v>
      </x:c>
    </x:row>
    <x:row r="129" ht="39.75" hidden="0" customHeight="1">
      <x:c r="A129" s="16" t="s">
        <x:v>755</x:v>
      </x:c>
      <x:c r="B129" s="16" t="s">
        <x:v>658</x:v>
      </x:c>
      <x:c r="C129" s="16" t="s">
        <x:v>659</x:v>
      </x:c>
      <x:c r="D129" s="16" t="s">
        <x:v>756</x:v>
      </x:c>
      <x:c r="E129" s="16" t="s">
        <x:v>661</x:v>
      </x:c>
      <x:c r="F129" s="16" t="s">
        <x:v>668</x:v>
      </x:c>
      <x:c r="G129" s="16" t="s">
        <x:v>659</x:v>
      </x:c>
      <x:c r="H129" s="50" t="str">
        <x:v>11000000</x:v>
      </x:c>
      <x:c r="I129" s="16" t="s">
        <x:v>757</x:v>
      </x:c>
      <x:c r="J129" s="16" t="n">
        <x:v>52.4050534</x:v>
      </x:c>
      <x:c r="K129" s="16" t="n">
        <x:v>13.5353223</x:v>
      </x:c>
      <x:c r="L129" s="16" t="n">
        <x:v>204</x:v>
      </x:c>
      <x:c r="M129" s="16" t="s">
        <x:v>758</x:v>
      </x:c>
      <x:c r="N129" s="16" t="s">
        <x:v>83</x:v>
      </x:c>
      <x:c r="O129" s="16" t="s">
        <x:v>759</x:v>
      </x:c>
    </x:row>
    <x:row r="130" ht="39.75" hidden="0" customHeight="1">
      <x:c r="A130" s="16" t="s">
        <x:v>760</x:v>
      </x:c>
      <x:c r="B130" s="16" t="s">
        <x:v>374</x:v>
      </x:c>
      <x:c r="C130" s="16" t="s">
        <x:v>375</x:v>
      </x:c>
      <x:c r="D130" s="16" t="s">
        <x:v>761</x:v>
      </x:c>
      <x:c r="E130" s="16" t="s">
        <x:v>762</x:v>
      </x:c>
      <x:c r="F130" s="16" t="s">
        <x:v>406</x:v>
      </x:c>
      <x:c r="G130" s="16" t="s">
        <x:v>763</x:v>
      </x:c>
      <x:c r="H130" s="50" t="str">
        <x:v>05915000</x:v>
      </x:c>
      <x:c r="I130" s="16" t="s">
        <x:v>764</x:v>
      </x:c>
      <x:c r="J130" s="16" t="n">
        <x:v>51.6922439</x:v>
      </x:c>
      <x:c r="K130" s="16" t="n">
        <x:v>7.9176155</x:v>
      </x:c>
      <x:c r="L130" s="16" t="n">
        <x:v>830</x:v>
      </x:c>
      <x:c r="M130" s="16" t="s">
        <x:v>765</x:v>
      </x:c>
      <x:c r="N130" s="16" t="s">
        <x:v>83</x:v>
      </x:c>
      <x:c r="O130" s="16" t="s">
        <x:v>766</x:v>
      </x:c>
    </x:row>
    <x:row r="131" ht="39.75" hidden="0" customHeight="1">
      <x:c r="A131" s="16" t="s">
        <x:v>767</x:v>
      </x:c>
      <x:c r="B131" s="16" t="s">
        <x:v>374</x:v>
      </x:c>
      <x:c r="C131" s="16" t="s">
        <x:v>375</x:v>
      </x:c>
      <x:c r="D131" s="16" t="s">
        <x:v>768</x:v>
      </x:c>
      <x:c r="E131" s="16" t="s">
        <x:v>762</x:v>
      </x:c>
      <x:c r="F131" s="16" t="s">
        <x:v>406</x:v>
      </x:c>
      <x:c r="G131" s="16" t="s">
        <x:v>769</x:v>
      </x:c>
      <x:c r="H131" s="50" t="str">
        <x:v>05974032</x:v>
      </x:c>
      <x:c r="I131" s="16" t="s">
        <x:v>770</x:v>
      </x:c>
      <x:c r="J131" s="16" t="n">
        <x:v>51.51757</x:v>
      </x:c>
      <x:c r="K131" s="16" t="n">
        <x:v>8.164839</x:v>
      </x:c>
      <x:c r="L131" s="16" t="n">
        <x:v>700</x:v>
      </x:c>
      <x:c r="M131" s="16" t="s">
        <x:v>771</x:v>
      </x:c>
      <x:c r="N131" s="16" t="s">
        <x:v>38</x:v>
      </x:c>
      <x:c r="O131" s="16" t="s">
        <x:v>772</x:v>
      </x:c>
    </x:row>
    <x:row r="132" ht="39.75" hidden="0" customHeight="1">
      <x:c r="A132" s="16" t="s">
        <x:v>773</x:v>
      </x:c>
      <x:c r="B132" s="16" t="s">
        <x:v>374</x:v>
      </x:c>
      <x:c r="C132" s="16" t="s">
        <x:v>375</x:v>
      </x:c>
      <x:c r="D132" s="16" t="s">
        <x:v>774</x:v>
      </x:c>
      <x:c r="E132" s="16" t="s">
        <x:v>762</x:v>
      </x:c>
      <x:c r="F132" s="16" t="s">
        <x:v>406</x:v>
      </x:c>
      <x:c r="G132" s="16" t="s">
        <x:v>775</x:v>
      </x:c>
      <x:c r="H132" s="50" t="str">
        <x:v>05966024</x:v>
      </x:c>
      <x:c r="I132" s="16" t="s">
        <x:v>776</x:v>
      </x:c>
      <x:c r="J132" s="16" t="n">
        <x:v>51.03041</x:v>
      </x:c>
      <x:c r="K132" s="16" t="n">
        <x:v>7.837983</x:v>
      </x:c>
      <x:c r="L132" s="16" t="n">
        <x:v>400</x:v>
      </x:c>
      <x:c r="M132" s="16" t="s">
        <x:v>777</x:v>
      </x:c>
      <x:c r="N132" s="16" t="s">
        <x:v>38</x:v>
      </x:c>
      <x:c r="O132" s="16" t="s">
        <x:v>778</x:v>
      </x:c>
    </x:row>
    <x:row r="133" ht="39.75" hidden="0" customHeight="1">
      <x:c r="A133" s="16" t="s">
        <x:v>779</x:v>
      </x:c>
      <x:c r="B133" s="16" t="s">
        <x:v>374</x:v>
      </x:c>
      <x:c r="C133" s="16" t="s">
        <x:v>375</x:v>
      </x:c>
      <x:c r="D133" s="16" t="s">
        <x:v>780</x:v>
      </x:c>
      <x:c r="E133" s="16" t="s">
        <x:v>762</x:v>
      </x:c>
      <x:c r="F133" s="16" t="s">
        <x:v>406</x:v>
      </x:c>
      <x:c r="G133" s="16" t="s">
        <x:v>781</x:v>
      </x:c>
      <x:c r="H133" s="50" t="str">
        <x:v>05974040</x:v>
      </x:c>
      <x:c r="I133" s="16" t="s">
        <x:v>782</x:v>
      </x:c>
      <x:c r="J133" s="16" t="n">
        <x:v>51.5526837</x:v>
      </x:c>
      <x:c r="K133" s="16" t="n">
        <x:v>8.1110337</x:v>
      </x:c>
      <x:c r="L133" s="16" t="n">
        <x:v>1200</x:v>
      </x:c>
      <x:c r="M133" s="16" t="s">
        <x:v>783</x:v>
      </x:c>
      <x:c r="N133" s="16" t="s">
        <x:v>49</x:v>
      </x:c>
      <x:c r="O133" s="16" t="s">
        <x:v>784</x:v>
      </x:c>
    </x:row>
    <x:row r="134" ht="39.75" hidden="0" customHeight="1">
      <x:c r="A134" s="16" t="s">
        <x:v>785</x:v>
      </x:c>
      <x:c r="B134" s="16" t="s">
        <x:v>374</x:v>
      </x:c>
      <x:c r="C134" s="16" t="s">
        <x:v>375</x:v>
      </x:c>
      <x:c r="D134" s="16" t="s">
        <x:v>786</x:v>
      </x:c>
      <x:c r="E134" s="16" t="s">
        <x:v>762</x:v>
      </x:c>
      <x:c r="F134" s="16" t="s">
        <x:v>406</x:v>
      </x:c>
      <x:c r="G134" s="16" t="s">
        <x:v>787</x:v>
      </x:c>
      <x:c r="H134" s="50" t="str">
        <x:v>05974056</x:v>
      </x:c>
      <x:c r="I134" s="16" t="s">
        <x:v>788</x:v>
      </x:c>
      <x:c r="J134" s="16" t="n">
        <x:v>51.475893</x:v>
      </x:c>
      <x:c r="K134" s="16" t="n">
        <x:v>7.853597</x:v>
      </x:c>
      <x:c r="L134" s="16" t="n">
        <x:v>650</x:v>
      </x:c>
      <x:c r="M134" s="16" t="s">
        <x:v>777</x:v>
      </x:c>
      <x:c r="N134" s="16" t="s">
        <x:v>38</x:v>
      </x:c>
      <x:c r="O134" s="16" t="s">
        <x:v>789</x:v>
      </x:c>
    </x:row>
    <x:row r="135" ht="39.75" hidden="0" customHeight="1">
      <x:c r="A135" s="16" t="s">
        <x:v>790</x:v>
      </x:c>
      <x:c r="B135" s="16" t="s">
        <x:v>374</x:v>
      </x:c>
      <x:c r="C135" s="16" t="s">
        <x:v>375</x:v>
      </x:c>
      <x:c r="D135" s="16" t="s">
        <x:v>791</x:v>
      </x:c>
      <x:c r="E135" s="16" t="s">
        <x:v>762</x:v>
      </x:c>
      <x:c r="F135" s="16" t="s">
        <x:v>377</x:v>
      </x:c>
      <x:c r="G135" s="16" t="s">
        <x:v>792</x:v>
      </x:c>
      <x:c r="H135" s="50" t="str">
        <x:v>05762004</x:v>
      </x:c>
      <x:c r="I135" s="16" t="s">
        <x:v>793</x:v>
      </x:c>
      <x:c r="J135" s="16" t="n">
        <x:v>51.749013</x:v>
      </x:c>
      <x:c r="K135" s="16" t="n">
        <x:v>9.023226</x:v>
      </x:c>
      <x:c r="L135" s="16" t="n">
        <x:v>500</x:v>
      </x:c>
      <x:c r="M135" s="16" t="s">
        <x:v>794</x:v>
      </x:c>
      <x:c r="N135" s="16" t="s">
        <x:v>38</x:v>
      </x:c>
      <x:c r="O135" s="16" t="s">
        <x:v>795</x:v>
      </x:c>
    </x:row>
    <x:row r="136" ht="39.75" hidden="0" customHeight="1">
      <x:c r="A136" s="16" t="s">
        <x:v>796</x:v>
      </x:c>
      <x:c r="B136" s="16" t="s">
        <x:v>374</x:v>
      </x:c>
      <x:c r="C136" s="16" t="s">
        <x:v>375</x:v>
      </x:c>
      <x:c r="D136" s="16" t="s">
        <x:v>797</x:v>
      </x:c>
      <x:c r="E136" s="16" t="s">
        <x:v>762</x:v>
      </x:c>
      <x:c r="F136" s="16" t="s">
        <x:v>377</x:v>
      </x:c>
      <x:c r="G136" s="16" t="s">
        <x:v>798</x:v>
      </x:c>
      <x:c r="H136" s="50" t="str">
        <x:v>05762012</x:v>
      </x:c>
      <x:c r="I136" s="16" t="s">
        <x:v>799</x:v>
      </x:c>
      <x:c r="J136" s="16" t="n">
        <x:v>51.574545</x:v>
      </x:c>
      <x:c r="K136" s="16" t="n">
        <x:v>9.213812</x:v>
      </x:c>
      <x:c r="L136" s="16" t="n">
        <x:v>500</x:v>
      </x:c>
      <x:c r="M136" s="16" t="s">
        <x:v>800</x:v>
      </x:c>
      <x:c r="N136" s="16" t="s">
        <x:v>38</x:v>
      </x:c>
      <x:c r="O136" s="16" t="s">
        <x:v>801</x:v>
      </x:c>
    </x:row>
    <x:row r="137" ht="39.75" hidden="0" customHeight="1">
      <x:c r="A137" s="16" t="s">
        <x:v>802</x:v>
      </x:c>
      <x:c r="B137" s="16" t="s">
        <x:v>374</x:v>
      </x:c>
      <x:c r="C137" s="16" t="s">
        <x:v>375</x:v>
      </x:c>
      <x:c r="D137" s="16" t="s">
        <x:v>803</x:v>
      </x:c>
      <x:c r="E137" s="16" t="s">
        <x:v>762</x:v>
      </x:c>
      <x:c r="F137" s="16" t="s">
        <x:v>377</x:v>
      </x:c>
      <x:c r="G137" s="16" t="s">
        <x:v>804</x:v>
      </x:c>
      <x:c r="H137" s="50" t="str">
        <x:v>05758012</x:v>
      </x:c>
      <x:c r="I137" s="16" t="s">
        <x:v>805</x:v>
      </x:c>
      <x:c r="J137" s="16" t="n">
        <x:v>52.131833</x:v>
      </x:c>
      <x:c r="K137" s="16" t="n">
        <x:v>8.68818</x:v>
      </x:c>
      <x:c r="L137" s="16" t="n">
        <x:v>827</x:v>
      </x:c>
      <x:c r="M137" s="16" t="s">
        <x:v>806</x:v>
      </x:c>
      <x:c r="N137" s="16" t="s">
        <x:v>38</x:v>
      </x:c>
      <x:c r="O137" s="16" t="s">
        <x:v>807</x:v>
      </x:c>
    </x:row>
    <x:row r="138" ht="39.75" hidden="0" customHeight="1">
      <x:c r="A138" s="16" t="s">
        <x:v>808</x:v>
      </x:c>
      <x:c r="B138" s="16" t="s">
        <x:v>374</x:v>
      </x:c>
      <x:c r="C138" s="16" t="s">
        <x:v>375</x:v>
      </x:c>
      <x:c r="D138" s="16" t="s">
        <x:v>809</x:v>
      </x:c>
      <x:c r="E138" s="16" t="s">
        <x:v>762</x:v>
      </x:c>
      <x:c r="F138" s="16" t="s">
        <x:v>389</x:v>
      </x:c>
      <x:c r="G138" s="16" t="s">
        <x:v>810</x:v>
      </x:c>
      <x:c r="H138" s="50" t="str">
        <x:v>05117000</x:v>
      </x:c>
      <x:c r="I138" s="16" t="s">
        <x:v>811</x:v>
      </x:c>
      <x:c r="J138" s="16" t="n">
        <x:v>51.4123187</x:v>
      </x:c>
      <x:c r="K138" s="16" t="n">
        <x:v>6.9267404</x:v>
      </x:c>
      <x:c r="L138" s="16" t="n">
        <x:v>626</x:v>
      </x:c>
      <x:c r="M138" s="16" t="s">
        <x:v>812</x:v>
      </x:c>
      <x:c r="N138" s="16" t="s">
        <x:v>83</x:v>
      </x:c>
      <x:c r="O138" s="16" t="s">
        <x:v>813</x:v>
      </x:c>
    </x:row>
    <x:row r="139" ht="39.75" hidden="0" customHeight="1">
      <x:c r="A139" s="16" t="s">
        <x:v>814</x:v>
      </x:c>
      <x:c r="B139" s="16" t="s">
        <x:v>374</x:v>
      </x:c>
      <x:c r="C139" s="16" t="s">
        <x:v>375</x:v>
      </x:c>
      <x:c r="D139" s="16" t="s">
        <x:v>815</x:v>
      </x:c>
      <x:c r="E139" s="16" t="s">
        <x:v>762</x:v>
      </x:c>
      <x:c r="F139" s="16" t="s">
        <x:v>389</x:v>
      </x:c>
      <x:c r="G139" s="16" t="s">
        <x:v>816</x:v>
      </x:c>
      <x:c r="H139" s="50" t="str">
        <x:v>05162024</x:v>
      </x:c>
      <x:c r="I139" s="16" t="s">
        <x:v>817</x:v>
      </x:c>
      <x:c r="J139" s="16" t="n">
        <x:v>51.1943</x:v>
      </x:c>
      <x:c r="K139" s="16" t="n">
        <x:v>6.703589</x:v>
      </x:c>
      <x:c r="L139" s="16" t="n">
        <x:v>1000</x:v>
      </x:c>
      <x:c r="M139" s="16" t="s">
        <x:v>818</x:v>
      </x:c>
      <x:c r="N139" s="16" t="s">
        <x:v>38</x:v>
      </x:c>
      <x:c r="O139" s="16" t="s">
        <x:v>819</x:v>
      </x:c>
    </x:row>
    <x:row r="140" ht="39.75" hidden="0" customHeight="1">
      <x:c r="A140" s="16" t="s">
        <x:v>820</x:v>
      </x:c>
      <x:c r="B140" s="16" t="s">
        <x:v>374</x:v>
      </x:c>
      <x:c r="C140" s="16" t="s">
        <x:v>375</x:v>
      </x:c>
      <x:c r="D140" s="16" t="s">
        <x:v>821</x:v>
      </x:c>
      <x:c r="E140" s="16" t="s">
        <x:v>762</x:v>
      </x:c>
      <x:c r="F140" s="16" t="s">
        <x:v>389</x:v>
      </x:c>
      <x:c r="G140" s="16" t="s">
        <x:v>822</x:v>
      </x:c>
      <x:c r="H140" s="50" t="str">
        <x:v>05158028</x:v>
      </x:c>
      <x:c r="I140" s="16" t="s">
        <x:v>823</x:v>
      </x:c>
      <x:c r="J140" s="16" t="n">
        <x:v>51.302632</x:v>
      </x:c>
      <x:c r="K140" s="16" t="n">
        <x:v>6.826887</x:v>
      </x:c>
      <x:c r="L140" s="16" t="n">
        <x:v>846</x:v>
      </x:c>
      <x:c r="M140" s="16" t="s">
        <x:v>824</x:v>
      </x:c>
      <x:c r="N140" s="16" t="s">
        <x:v>38</x:v>
      </x:c>
      <x:c r="O140" s="16" t="s">
        <x:v>825</x:v>
      </x:c>
    </x:row>
    <x:row r="141" ht="39.75" hidden="0" customHeight="1">
      <x:c r="A141" s="16" t="s">
        <x:v>826</x:v>
      </x:c>
      <x:c r="B141" s="16" t="s">
        <x:v>374</x:v>
      </x:c>
      <x:c r="C141" s="16" t="s">
        <x:v>375</x:v>
      </x:c>
      <x:c r="D141" s="16" t="s">
        <x:v>827</x:v>
      </x:c>
      <x:c r="E141" s="16" t="s">
        <x:v>762</x:v>
      </x:c>
      <x:c r="F141" s="16" t="s">
        <x:v>389</x:v>
      </x:c>
      <x:c r="G141" s="16" t="s">
        <x:v>828</x:v>
      </x:c>
      <x:c r="H141" s="50" t="str">
        <x:v>05154044</x:v>
      </x:c>
      <x:c r="I141" s="16" t="s">
        <x:v>829</x:v>
      </x:c>
      <x:c r="J141" s="16" t="n">
        <x:v>51.768699</x:v>
      </x:c>
      <x:c r="K141" s="16" t="n">
        <x:v>6.409872</x:v>
      </x:c>
      <x:c r="L141" s="16" t="n">
        <x:v>160</x:v>
      </x:c>
      <x:c r="M141" s="16" t="s">
        <x:v>830</x:v>
      </x:c>
      <x:c r="N141" s="16" t="s">
        <x:v>38</x:v>
      </x:c>
      <x:c r="O141" s="16" t="s">
        <x:v>831</x:v>
      </x:c>
    </x:row>
    <x:row r="142" ht="39.75" hidden="0" customHeight="1">
      <x:c r="A142" s="16" t="s">
        <x:v>832</x:v>
      </x:c>
      <x:c r="B142" s="16" t="s">
        <x:v>374</x:v>
      </x:c>
      <x:c r="C142" s="16" t="s">
        <x:v>375</x:v>
      </x:c>
      <x:c r="D142" s="16" t="s">
        <x:v>833</x:v>
      </x:c>
      <x:c r="E142" s="16" t="s">
        <x:v>762</x:v>
      </x:c>
      <x:c r="F142" s="16" t="s">
        <x:v>389</x:v>
      </x:c>
      <x:c r="G142" s="16" t="s">
        <x:v>828</x:v>
      </x:c>
      <x:c r="H142" s="50" t="str">
        <x:v>05154044</x:v>
      </x:c>
      <x:c r="I142" s="16" t="s">
        <x:v>834</x:v>
      </x:c>
      <x:c r="J142" s="16" t="n">
        <x:v>51.761598</x:v>
      </x:c>
      <x:c r="K142" s="16" t="n">
        <x:v>6.501892</x:v>
      </x:c>
      <x:c r="L142" s="16" t="n">
        <x:v>420</x:v>
      </x:c>
      <x:c r="M142" s="16" t="s">
        <x:v>835</x:v>
      </x:c>
      <x:c r="N142" s="16" t="s">
        <x:v>38</x:v>
      </x:c>
      <x:c r="O142" s="16" t="s">
        <x:v>836</x:v>
      </x:c>
    </x:row>
    <x:row r="143" ht="39.75" hidden="0" customHeight="1">
      <x:c r="A143" s="16" t="s">
        <x:v>837</x:v>
      </x:c>
      <x:c r="B143" s="16" t="s">
        <x:v>374</x:v>
      </x:c>
      <x:c r="C143" s="16" t="s">
        <x:v>375</x:v>
      </x:c>
      <x:c r="D143" s="16" t="s">
        <x:v>838</x:v>
      </x:c>
      <x:c r="E143" s="16" t="s">
        <x:v>762</x:v>
      </x:c>
      <x:c r="F143" s="16" t="s">
        <x:v>389</x:v>
      </x:c>
      <x:c r="G143" s="16" t="s">
        <x:v>839</x:v>
      </x:c>
      <x:c r="H143" s="50" t="str">
        <x:v>05170032</x:v>
      </x:c>
      <x:c r="I143" s="16" t="s">
        <x:v>840</x:v>
      </x:c>
      <x:c r="J143" s="16" t="n">
        <x:v>51.5238014</x:v>
      </x:c>
      <x:c r="K143" s="16" t="n">
        <x:v>6.6816353</x:v>
      </x:c>
      <x:c r="L143" s="16" t="n">
        <x:v>500</x:v>
      </x:c>
      <x:c r="M143" s="16" t="s">
        <x:v>841</x:v>
      </x:c>
      <x:c r="N143" s="16" t="s">
        <x:v>38</x:v>
      </x:c>
      <x:c r="O143" s="16" t="s">
        <x:v>842</x:v>
      </x:c>
    </x:row>
    <x:row r="144" ht="39.75" hidden="0" customHeight="1">
      <x:c r="A144" s="16" t="s">
        <x:v>843</x:v>
      </x:c>
      <x:c r="B144" s="16" t="s">
        <x:v>374</x:v>
      </x:c>
      <x:c r="C144" s="16" t="s">
        <x:v>375</x:v>
      </x:c>
      <x:c r="D144" s="16" t="s">
        <x:v>844</x:v>
      </x:c>
      <x:c r="E144" s="16" t="s">
        <x:v>762</x:v>
      </x:c>
      <x:c r="F144" s="16" t="s">
        <x:v>389</x:v>
      </x:c>
      <x:c r="G144" s="16" t="s">
        <x:v>845</x:v>
      </x:c>
      <x:c r="H144" s="50" t="str">
        <x:v>05166032</x:v>
      </x:c>
      <x:c r="I144" s="16" t="s">
        <x:v>846</x:v>
      </x:c>
      <x:c r="J144" s="16" t="n">
        <x:v>51.246541</x:v>
      </x:c>
      <x:c r="K144" s="16" t="n">
        <x:v>6.384219</x:v>
      </x:c>
      <x:c r="L144" s="16" t="n">
        <x:v>650</x:v>
      </x:c>
      <x:c r="M144" s="16" t="s">
        <x:v>794</x:v>
      </x:c>
      <x:c r="N144" s="16" t="s">
        <x:v>38</x:v>
      </x:c>
      <x:c r="O144" s="16" t="s">
        <x:v>847</x:v>
      </x:c>
    </x:row>
    <x:row r="145" ht="39.75" hidden="0" customHeight="1">
      <x:c r="A145" s="16" t="s">
        <x:v>848</x:v>
      </x:c>
      <x:c r="B145" s="16" t="s">
        <x:v>374</x:v>
      </x:c>
      <x:c r="C145" s="16" t="s">
        <x:v>375</x:v>
      </x:c>
      <x:c r="D145" s="16" t="s">
        <x:v>849</x:v>
      </x:c>
      <x:c r="E145" s="16" t="s">
        <x:v>762</x:v>
      </x:c>
      <x:c r="F145" s="16" t="s">
        <x:v>389</x:v>
      </x:c>
      <x:c r="G145" s="16" t="s">
        <x:v>850</x:v>
      </x:c>
      <x:c r="H145" s="50" t="str">
        <x:v>05154064</x:v>
      </x:c>
      <x:c r="I145" s="16" t="s">
        <x:v>851</x:v>
      </x:c>
      <x:c r="J145" s="16" t="n">
        <x:v>51.589087</x:v>
      </x:c>
      <x:c r="K145" s="16" t="n">
        <x:v>6.147373</x:v>
      </x:c>
      <x:c r="L145" s="16" t="n">
        <x:v>750</x:v>
      </x:c>
      <x:c r="M145" s="16" t="s">
        <x:v>794</x:v>
      </x:c>
      <x:c r="N145" s="16" t="s">
        <x:v>38</x:v>
      </x:c>
      <x:c r="O145" s="16" t="s">
        <x:v>852</x:v>
      </x:c>
    </x:row>
    <x:row r="146" ht="39.75" hidden="0" customHeight="1">
      <x:c r="A146" s="16" t="s">
        <x:v>853</x:v>
      </x:c>
      <x:c r="B146" s="16" t="s">
        <x:v>374</x:v>
      </x:c>
      <x:c r="C146" s="16" t="s">
        <x:v>375</x:v>
      </x:c>
      <x:c r="D146" s="16" t="s">
        <x:v>854</x:v>
      </x:c>
      <x:c r="E146" s="16" t="s">
        <x:v>762</x:v>
      </x:c>
      <x:c r="F146" s="16" t="s">
        <x:v>389</x:v>
      </x:c>
      <x:c r="G146" s="16" t="s">
        <x:v>850</x:v>
      </x:c>
      <x:c r="H146" s="50" t="str">
        <x:v>05154064</x:v>
      </x:c>
      <x:c r="I146" s="16" t="s">
        <x:v>855</x:v>
      </x:c>
      <x:c r="J146" s="16" t="n">
        <x:v>51.594083</x:v>
      </x:c>
      <x:c r="K146" s="16" t="n">
        <x:v>6.165495</x:v>
      </x:c>
      <x:c r="L146" s="16" t="n">
        <x:v>640</x:v>
      </x:c>
      <x:c r="M146" s="16" t="s">
        <x:v>856</x:v>
      </x:c>
      <x:c r="N146" s="16" t="s">
        <x:v>83</x:v>
      </x:c>
      <x:c r="O146" s="16" t="s">
        <x:v>857</x:v>
      </x:c>
    </x:row>
    <x:row r="147" ht="39.75" hidden="0" customHeight="1">
      <x:c r="A147" s="16" t="s">
        <x:v>858</x:v>
      </x:c>
      <x:c r="B147" s="16" t="s">
        <x:v>374</x:v>
      </x:c>
      <x:c r="C147" s="16" t="s">
        <x:v>375</x:v>
      </x:c>
      <x:c r="D147" s="16" t="s">
        <x:v>859</x:v>
      </x:c>
      <x:c r="E147" s="16" t="s">
        <x:v>762</x:v>
      </x:c>
      <x:c r="F147" s="16" t="s">
        <x:v>389</x:v>
      </x:c>
      <x:c r="G147" s="16" t="s">
        <x:v>860</x:v>
      </x:c>
      <x:c r="H147" s="50" t="str">
        <x:v>05124000</x:v>
      </x:c>
      <x:c r="I147" s="16" t="s">
        <x:v>861</x:v>
      </x:c>
      <x:c r="J147" s="16" t="n">
        <x:v>51.22566</x:v>
      </x:c>
      <x:c r="K147" s="16" t="n">
        <x:v>7.17449</x:v>
      </x:c>
      <x:c r="L147" s="16" t="n">
        <x:v>340</x:v>
      </x:c>
      <x:c r="M147" s="16" t="s">
        <x:v>862</x:v>
      </x:c>
      <x:c r="N147" s="16" t="s">
        <x:v>38</x:v>
      </x:c>
      <x:c r="O147" s="16" t="s">
        <x:v>863</x:v>
      </x:c>
    </x:row>
    <x:row r="148" ht="39.75" hidden="0" customHeight="1">
      <x:c r="A148" s="16" t="s">
        <x:v>864</x:v>
      </x:c>
      <x:c r="B148" s="16" t="s">
        <x:v>374</x:v>
      </x:c>
      <x:c r="C148" s="16" t="s">
        <x:v>375</x:v>
      </x:c>
      <x:c r="D148" s="16" t="s">
        <x:v>865</x:v>
      </x:c>
      <x:c r="E148" s="16" t="s">
        <x:v>762</x:v>
      </x:c>
      <x:c r="F148" s="16" t="s">
        <x:v>383</x:v>
      </x:c>
      <x:c r="G148" s="16" t="s">
        <x:v>384</x:v>
      </x:c>
      <x:c r="H148" s="50" t="str">
        <x:v>05314000</x:v>
      </x:c>
      <x:c r="I148" s="16" t="s">
        <x:v>866</x:v>
      </x:c>
      <x:c r="J148" s="16" t="n">
        <x:v>50.6741943</x:v>
      </x:c>
      <x:c r="K148" s="16" t="n">
        <x:v>7.1613408</x:v>
      </x:c>
      <x:c r="L148" s="16" t="n">
        <x:v>1000</x:v>
      </x:c>
      <x:c r="M148" s="16" t="s">
        <x:v>867</x:v>
      </x:c>
      <x:c r="N148" s="16" t="s">
        <x:v>38</x:v>
      </x:c>
      <x:c r="O148" s="16" t="s">
        <x:v>868</x:v>
      </x:c>
    </x:row>
    <x:row r="149" ht="39.75" hidden="0" customHeight="1">
      <x:c r="A149" s="16" t="s">
        <x:v>869</x:v>
      </x:c>
      <x:c r="B149" s="16" t="s">
        <x:v>374</x:v>
      </x:c>
      <x:c r="C149" s="16" t="s">
        <x:v>375</x:v>
      </x:c>
      <x:c r="D149" s="16" t="s">
        <x:v>870</x:v>
      </x:c>
      <x:c r="E149" s="16" t="s">
        <x:v>762</x:v>
      </x:c>
      <x:c r="F149" s="16" t="s">
        <x:v>383</x:v>
      </x:c>
      <x:c r="G149" s="16" t="s">
        <x:v>871</x:v>
      </x:c>
      <x:c r="H149" s="50" t="str">
        <x:v>05358008</x:v>
      </x:c>
      <x:c r="I149" s="16" t="s">
        <x:v>872</x:v>
      </x:c>
      <x:c r="J149" s="16" t="n">
        <x:v>50.781121</x:v>
      </x:c>
      <x:c r="K149" s="16" t="n">
        <x:v>6.419613</x:v>
      </x:c>
      <x:c r="L149" s="16" t="n">
        <x:v>1300</x:v>
      </x:c>
      <x:c r="M149" s="16" t="s">
        <x:v>873</x:v>
      </x:c>
      <x:c r="N149" s="16" t="s">
        <x:v>83</x:v>
      </x:c>
      <x:c r="O149" s="16" t="s">
        <x:v>874</x:v>
      </x:c>
    </x:row>
    <x:row r="150" ht="39.75" hidden="0" customHeight="1">
      <x:c r="A150" s="16" t="s">
        <x:v>875</x:v>
      </x:c>
      <x:c r="B150" s="16" t="s">
        <x:v>374</x:v>
      </x:c>
      <x:c r="C150" s="16" t="s">
        <x:v>375</x:v>
      </x:c>
      <x:c r="D150" s="16" t="s">
        <x:v>876</x:v>
      </x:c>
      <x:c r="E150" s="16" t="s">
        <x:v>762</x:v>
      </x:c>
      <x:c r="F150" s="16" t="s">
        <x:v>383</x:v>
      </x:c>
      <x:c r="G150" s="16" t="s">
        <x:v>877</x:v>
      </x:c>
      <x:c r="H150" s="50" t="str">
        <x:v>05366016</x:v>
      </x:c>
      <x:c r="I150" s="16" t="s">
        <x:v>878</x:v>
      </x:c>
      <x:c r="J150" s="16" t="n">
        <x:v>50.647049</x:v>
      </x:c>
      <x:c r="K150" s="16" t="n">
        <x:v>6.79685</x:v>
      </x:c>
      <x:c r="L150" s="16" t="n">
        <x:v>500</x:v>
      </x:c>
      <x:c r="M150" s="16" t="s">
        <x:v>879</x:v>
      </x:c>
      <x:c r="N150" s="16" t="s">
        <x:v>38</x:v>
      </x:c>
      <x:c r="O150" s="16" t="s">
        <x:v>880</x:v>
      </x:c>
    </x:row>
    <x:row r="151" ht="39.75" hidden="0" customHeight="1">
      <x:c r="A151" s="16" t="s">
        <x:v>881</x:v>
      </x:c>
      <x:c r="B151" s="16" t="s">
        <x:v>374</x:v>
      </x:c>
      <x:c r="C151" s="16" t="s">
        <x:v>375</x:v>
      </x:c>
      <x:c r="D151" s="16" t="s">
        <x:v>882</x:v>
      </x:c>
      <x:c r="E151" s="16" t="s">
        <x:v>762</x:v>
      </x:c>
      <x:c r="F151" s="16" t="s">
        <x:v>383</x:v>
      </x:c>
      <x:c r="G151" s="16" t="s">
        <x:v>883</x:v>
      </x:c>
      <x:c r="H151" s="50" t="str">
        <x:v>05316000</x:v>
      </x:c>
      <x:c r="I151" s="16" t="s">
        <x:v>884</x:v>
      </x:c>
      <x:c r="J151" s="16" t="n">
        <x:v>51.030331</x:v>
      </x:c>
      <x:c r="K151" s="16" t="n">
        <x:v>7.038322</x:v>
      </x:c>
      <x:c r="L151" s="16" t="n">
        <x:v>460</x:v>
      </x:c>
      <x:c r="M151" s="16" t="s">
        <x:v>885</x:v>
      </x:c>
      <x:c r="N151" s="16" t="s">
        <x:v>38</x:v>
      </x:c>
      <x:c r="O151" s="16" t="s">
        <x:v>886</x:v>
      </x:c>
    </x:row>
    <x:row r="152" ht="39.75" hidden="0" customHeight="1">
      <x:c r="A152" s="16" t="s">
        <x:v>887</x:v>
      </x:c>
      <x:c r="B152" s="16" t="s">
        <x:v>374</x:v>
      </x:c>
      <x:c r="C152" s="16" t="s">
        <x:v>375</x:v>
      </x:c>
      <x:c r="D152" s="16" t="s">
        <x:v>888</x:v>
      </x:c>
      <x:c r="E152" s="16" t="s">
        <x:v>762</x:v>
      </x:c>
      <x:c r="F152" s="16" t="s">
        <x:v>383</x:v>
      </x:c>
      <x:c r="G152" s="16" t="s">
        <x:v>889</x:v>
      </x:c>
      <x:c r="H152" s="50" t="str">
        <x:v>05382056</x:v>
      </x:c>
      <x:c r="I152" s="16" t="s">
        <x:v>890</x:v>
      </x:c>
      <x:c r="J152" s="16" t="n">
        <x:v>50.7645993</x:v>
      </x:c>
      <x:c r="K152" s="16" t="n">
        <x:v>7.1881844</x:v>
      </x:c>
      <x:c r="L152" s="16" t="n">
        <x:v>600</x:v>
      </x:c>
      <x:c r="M152" s="16" t="s">
        <x:v>891</x:v>
      </x:c>
      <x:c r="N152" s="16" t="s">
        <x:v>38</x:v>
      </x:c>
      <x:c r="O152" s="16" t="s">
        <x:v>892</x:v>
      </x:c>
    </x:row>
    <x:row r="153" ht="39.75" hidden="0" customHeight="1">
      <x:c r="A153" s="16" t="s">
        <x:v>893</x:v>
      </x:c>
      <x:c r="B153" s="16" t="s">
        <x:v>374</x:v>
      </x:c>
      <x:c r="C153" s="16" t="s">
        <x:v>375</x:v>
      </x:c>
      <x:c r="D153" s="16" t="s">
        <x:v>894</x:v>
      </x:c>
      <x:c r="E153" s="16" t="s">
        <x:v>762</x:v>
      </x:c>
      <x:c r="F153" s="16" t="s">
        <x:v>383</x:v>
      </x:c>
      <x:c r="G153" s="16" t="s">
        <x:v>895</x:v>
      </x:c>
      <x:c r="H153" s="50" t="str">
        <x:v>05366036</x:v>
      </x:c>
      <x:c r="I153" s="16" t="s">
        <x:v>896</x:v>
      </x:c>
      <x:c r="J153" s="16" t="n">
        <x:v>50.5858532</x:v>
      </x:c>
      <x:c r="K153" s="16" t="n">
        <x:v>6.4478343</x:v>
      </x:c>
      <x:c r="L153" s="16" t="n">
        <x:v>420</x:v>
      </x:c>
      <x:c r="M153" s="16" t="s">
        <x:v>897</x:v>
      </x:c>
      <x:c r="N153" s="16" t="s">
        <x:v>38</x:v>
      </x:c>
      <x:c r="O153" s="16" t="s">
        <x:v>898</x:v>
      </x:c>
    </x:row>
    <x:row r="154" ht="39.75" hidden="0" customHeight="1">
      <x:c r="A154" s="16" t="s">
        <x:v>899</x:v>
      </x:c>
      <x:c r="B154" s="16" t="s">
        <x:v>374</x:v>
      </x:c>
      <x:c r="C154" s="16" t="s">
        <x:v>375</x:v>
      </x:c>
      <x:c r="D154" s="16" t="s">
        <x:v>900</x:v>
      </x:c>
      <x:c r="E154" s="16" t="s">
        <x:v>762</x:v>
      </x:c>
      <x:c r="F154" s="16" t="s">
        <x:v>383</x:v>
      </x:c>
      <x:c r="G154" s="16" t="s">
        <x:v>901</x:v>
      </x:c>
      <x:c r="H154" s="50" t="str">
        <x:v>05370040</x:v>
      </x:c>
      <x:c r="I154" s="16" t="s">
        <x:v>902</x:v>
      </x:c>
      <x:c r="J154" s="16" t="n">
        <x:v>51.1300219</x:v>
      </x:c>
      <x:c r="K154" s="16" t="n">
        <x:v>6.2073111</x:v>
      </x:c>
      <x:c r="L154" s="16" t="n">
        <x:v>1376</x:v>
      </x:c>
      <x:c r="M154" s="16" t="s">
        <x:v>903</x:v>
      </x:c>
      <x:c r="N154" s="16" t="s">
        <x:v>38</x:v>
      </x:c>
      <x:c r="O154" s="16" t="s">
        <x:v>904</x:v>
      </x:c>
    </x:row>
    <x:row r="155" ht="39.75" hidden="0" customHeight="1">
      <x:c r="A155" s="16" t="s">
        <x:v>905</x:v>
      </x:c>
      <x:c r="B155" s="16" t="s">
        <x:v>374</x:v>
      </x:c>
      <x:c r="C155" s="16" t="s">
        <x:v>375</x:v>
      </x:c>
      <x:c r="D155" s="16" t="s">
        <x:v>906</x:v>
      </x:c>
      <x:c r="E155" s="16" t="s">
        <x:v>762</x:v>
      </x:c>
      <x:c r="F155" s="16" t="s">
        <x:v>907</x:v>
      </x:c>
      <x:c r="G155" s="16" t="s">
        <x:v>908</x:v>
      </x:c>
      <x:c r="H155" s="50" t="str">
        <x:v>05562012</x:v>
      </x:c>
      <x:c r="I155" s="16" t="s">
        <x:v>909</x:v>
      </x:c>
      <x:c r="J155" s="16" t="n">
        <x:v>51.656111</x:v>
      </x:c>
      <x:c r="K155" s="16" t="n">
        <x:v>6.976093</x:v>
      </x:c>
      <x:c r="L155" s="16" t="n">
        <x:v>350</x:v>
      </x:c>
      <x:c r="M155" s="16" t="s">
        <x:v>794</x:v>
      </x:c>
      <x:c r="N155" s="16" t="s">
        <x:v>83</x:v>
      </x:c>
      <x:c r="O155" s="16" t="s">
        <x:v>910</x:v>
      </x:c>
    </x:row>
    <x:row r="156" ht="39.75" hidden="0" customHeight="1">
      <x:c r="A156" s="16" t="s">
        <x:v>911</x:v>
      </x:c>
      <x:c r="B156" s="16" t="s">
        <x:v>374</x:v>
      </x:c>
      <x:c r="C156" s="16" t="s">
        <x:v>375</x:v>
      </x:c>
      <x:c r="D156" s="16" t="s">
        <x:v>912</x:v>
      </x:c>
      <x:c r="E156" s="16" t="s">
        <x:v>762</x:v>
      </x:c>
      <x:c r="F156" s="16" t="s">
        <x:v>907</x:v>
      </x:c>
      <x:c r="G156" s="16" t="s">
        <x:v>913</x:v>
      </x:c>
      <x:c r="H156" s="50" t="str">
        <x:v>05566028</x:v>
      </x:c>
      <x:c r="I156" s="16" t="s">
        <x:v>914</x:v>
      </x:c>
      <x:c r="J156" s="16" t="n">
        <x:v>52.285548</x:v>
      </x:c>
      <x:c r="K156" s="16" t="n">
        <x:v>7.750265</x:v>
      </x:c>
      <x:c r="L156" s="16" t="n">
        <x:v>960</x:v>
      </x:c>
      <x:c r="M156" s="16" t="s">
        <x:v>794</x:v>
      </x:c>
      <x:c r="N156" s="16" t="s">
        <x:v>38</x:v>
      </x:c>
      <x:c r="O156" s="16" t="s">
        <x:v>915</x:v>
      </x:c>
    </x:row>
    <x:row r="157" ht="39.75" hidden="0" customHeight="1">
      <x:c r="A157" s="16" t="s">
        <x:v>916</x:v>
      </x:c>
      <x:c r="B157" s="16" t="s">
        <x:v>374</x:v>
      </x:c>
      <x:c r="C157" s="16" t="s">
        <x:v>375</x:v>
      </x:c>
      <x:c r="D157" s="16" t="s">
        <x:v>917</x:v>
      </x:c>
      <x:c r="E157" s="16" t="s">
        <x:v>762</x:v>
      </x:c>
      <x:c r="F157" s="16" t="s">
        <x:v>907</x:v>
      </x:c>
      <x:c r="G157" s="16" t="s">
        <x:v>918</x:v>
      </x:c>
      <x:c r="H157" s="50" t="str">
        <x:v>05562024</x:v>
      </x:c>
      <x:c r="I157" s="16" t="s">
        <x:v>919</x:v>
      </x:c>
      <x:c r="J157" s="16" t="n">
        <x:v>51.6607</x:v>
      </x:c>
      <x:c r="K157" s="16" t="n">
        <x:v>7.1182</x:v>
      </x:c>
      <x:c r="L157" s="16" t="n">
        <x:v>242</x:v>
      </x:c>
      <x:c r="M157" s="16" t="s">
        <x:v>794</x:v>
      </x:c>
      <x:c r="N157" s="16" t="s">
        <x:v>38</x:v>
      </x:c>
      <x:c r="O157" s="16" t="s">
        <x:v>920</x:v>
      </x:c>
    </x:row>
    <x:row r="158" ht="39.75" hidden="0" customHeight="1">
      <x:c r="A158" s="16" t="s">
        <x:v>921</x:v>
      </x:c>
      <x:c r="B158" s="16" t="s">
        <x:v>374</x:v>
      </x:c>
      <x:c r="C158" s="16" t="s">
        <x:v>375</x:v>
      </x:c>
      <x:c r="D158" s="16" t="s">
        <x:v>922</x:v>
      </x:c>
      <x:c r="E158" s="16" t="s">
        <x:v>762</x:v>
      </x:c>
      <x:c r="F158" s="16" t="s">
        <x:v>907</x:v>
      </x:c>
      <x:c r="G158" s="16" t="s">
        <x:v>923</x:v>
      </x:c>
      <x:c r="H158" s="50" t="str">
        <x:v>05515000</x:v>
      </x:c>
      <x:c r="I158" s="16" t="s">
        <x:v>924</x:v>
      </x:c>
      <x:c r="J158" s="16" t="n">
        <x:v>51.9265321</x:v>
      </x:c>
      <x:c r="K158" s="16" t="n">
        <x:v>7.6685167</x:v>
      </x:c>
      <x:c r="L158" s="16" t="n">
        <x:v>995</x:v>
      </x:c>
      <x:c r="M158" s="16" t="s">
        <x:v>925</x:v>
      </x:c>
      <x:c r="N158" s="16" t="s">
        <x:v>38</x:v>
      </x:c>
      <x:c r="O158" s="16" t="s">
        <x:v>926</x:v>
      </x:c>
    </x:row>
    <x:row r="159" ht="39.75" hidden="0" customHeight="1">
      <x:c r="A159" s="16"/>
      <x:c r="B159" s="16"/>
      <x:c r="C159" s="16"/>
      <x:c r="D159" s="16"/>
      <x:c r="E159" s="16"/>
      <x:c r="F159" s="16"/>
      <x:c r="G159" s="16"/>
      <x:c r="H159" s="16"/>
      <x:c r="I159" s="16"/>
      <x:c r="J159" s="16"/>
      <x:c r="K159" s="16"/>
      <x:c r="L159" s="16"/>
      <x:c r="M159" s="16"/>
      <x:c r="N159" s="16"/>
      <x:c r="O159" s="16"/>
    </x:row>
    <x:row r="160" ht="39.75" hidden="0" customHeight="1"/>
    <x:row r="161" ht="39.75" hidden="0" customHeight="1"/>
    <x:row r="162" ht="39.75" hidden="0" customHeight="1"/>
    <x:row r="163" ht="39.75" hidden="0" customHeight="1"/>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11" style="15" hidden="0" customWidth="1"/>
    <x:col min="4" max="4" width="40" style="15" hidden="0" customWidth="1"/>
    <x:col min="16" max="16" width="28" style="15" hidden="0" customWidth="1"/>
    <x:col min="17" max="17" width="90" style="15" hidden="0" customWidth="1"/>
  </x:cols>
  <x:sheetData>
    <x:row r="1" ht="15" hidden="0" customHeight="1">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927</x:v>
      </x:c>
      <x:c r="Q1" s="4" t="s">
        <x:v>928</x:v>
      </x:c>
    </x:row>
    <x:row r="2" ht="45.75" hidden="0" customHeight="1">
      <x:c r="A2" s="17" t="s">
        <x:v>929</x:v>
      </x:c>
      <x:c r="B2" s="17" t="s">
        <x:v>658</x:v>
      </x:c>
      <x:c r="C2" s="17" t="s">
        <x:v>659</x:v>
      </x:c>
      <x:c r="D2" s="17" t="s">
        <x:v>930</x:v>
      </x:c>
      <x:c r="E2" s="17" t="s">
        <x:v>44</x:v>
      </x:c>
      <x:c r="F2" s="17" t="s">
        <x:v>931</x:v>
      </x:c>
      <x:c r="G2" s="17" t="s">
        <x:v>659</x:v>
      </x:c>
      <x:c r="H2" s="17" t="s">
        <x:v>932</x:v>
      </x:c>
      <x:c r="I2" s="17" t="s">
        <x:v>933</x:v>
      </x:c>
      <x:c r="J2" s="17" t="n">
        <x:v>52.580435</x:v>
      </x:c>
      <x:c r="K2" s="17" t="n">
        <x:v>13.331177</x:v>
      </x:c>
      <x:c r="L2" s="17" t="n">
        <x:v>500</x:v>
      </x:c>
      <x:c r="M2" s="17" t="s">
        <x:v>934</x:v>
      </x:c>
      <x:c r="N2" s="17" t="s">
        <x:v>38</x:v>
      </x:c>
      <x:c r="O2" s="17" t="s">
        <x:v>935</x:v>
      </x:c>
      <x:c r="P2" s="18" t="s">
        <x:v>936</x:v>
      </x:c>
      <x:c r="Q2" s="18" t="s">
        <x:v>937</x:v>
      </x:c>
    </x:row>
    <x:row r="3" ht="45.75" hidden="0" customHeight="1">
      <x:c r="A3" s="17" t="s">
        <x:v>938</x:v>
      </x:c>
      <x:c r="B3" s="17" t="s">
        <x:v>241</x:v>
      </x:c>
      <x:c r="C3" s="17" t="s">
        <x:v>242</x:v>
      </x:c>
      <x:c r="D3" s="17" t="s">
        <x:v>939</x:v>
      </x:c>
      <x:c r="E3" s="17" t="s">
        <x:v>940</x:v>
      </x:c>
      <x:c r="F3" s="17" t="s">
        <x:v>245</x:v>
      </x:c>
      <x:c r="G3" s="17" t="s">
        <x:v>941</x:v>
      </x:c>
      <x:c r="H3" s="17" t="s">
        <x:v>942</x:v>
      </x:c>
      <x:c r="I3" s="17" t="s">
        <x:v>943</x:v>
      </x:c>
      <x:c r="J3" s="17" t="n">
        <x:v>53.588161</x:v>
      </x:c>
      <x:c r="K3" s="17" t="n">
        <x:v>8.609706</x:v>
      </x:c>
      <x:c r="L3" s="17" t="n">
        <x:v>40</x:v>
      </x:c>
      <x:c r="M3" s="17" t="s">
        <x:v>944</x:v>
      </x:c>
      <x:c r="N3" s="17" t="s">
        <x:v>83</x:v>
      </x:c>
      <x:c r="O3" s="17" t="s">
        <x:v>945</x:v>
      </x:c>
      <x:c r="P3" s="18" t="s">
        <x:v>946</x:v>
      </x:c>
      <x:c r="Q3" s="18" t="s">
        <x:v>947</x:v>
      </x:c>
    </x:row>
    <x:row r="4" ht="34.5" hidden="0" customHeight="1">
      <x:c r="A4" s="17" t="s">
        <x:v>948</x:v>
      </x:c>
      <x:c r="B4" s="17" t="s">
        <x:v>241</x:v>
      </x:c>
      <x:c r="C4" s="17" t="s">
        <x:v>242</x:v>
      </x:c>
      <x:c r="D4" s="17" t="s">
        <x:v>949</x:v>
      </x:c>
      <x:c r="E4" s="17" t="s">
        <x:v>940</x:v>
      </x:c>
      <x:c r="F4" s="17" t="s">
        <x:v>245</x:v>
      </x:c>
      <x:c r="G4" s="17" t="s">
        <x:v>242</x:v>
      </x:c>
      <x:c r="H4" s="17" t="s">
        <x:v>950</x:v>
      </x:c>
      <x:c r="I4" s="17" t="s">
        <x:v>951</x:v>
      </x:c>
      <x:c r="J4" s="17" t="n">
        <x:v>53.0484732</x:v>
      </x:c>
      <x:c r="K4" s="17" t="n">
        <x:v>8.84996</x:v>
      </x:c>
      <x:c r="L4" s="17"/>
      <x:c r="M4" s="17" t="s">
        <x:v>952</x:v>
      </x:c>
      <x:c r="N4" s="17" t="s">
        <x:v>38</x:v>
      </x:c>
      <x:c r="O4" s="17"/>
      <x:c r="P4" s="18" t="s">
        <x:v>946</x:v>
      </x:c>
      <x:c r="Q4" s="18" t="s">
        <x:v>953</x:v>
      </x:c>
    </x:row>
    <x:row r="5" ht="35.04999923706055" hidden="0">
      <x:c r="A5" s="17" t="s">
        <x:v>954</x:v>
      </x:c>
      <x:c r="B5" s="17" t="s">
        <x:v>410</x:v>
      </x:c>
      <x:c r="C5" s="17" t="s">
        <x:v>411</x:v>
      </x:c>
      <x:c r="D5" s="17" t="s">
        <x:v>955</x:v>
      </x:c>
      <x:c r="E5" s="17" t="s">
        <x:v>420</x:v>
      </x:c>
      <x:c r="F5" s="17" t="s">
        <x:v>414</x:v>
      </x:c>
      <x:c r="G5" s="17" t="s">
        <x:v>956</x:v>
      </x:c>
      <x:c r="H5" s="17" t="s">
        <x:v>957</x:v>
      </x:c>
      <x:c r="I5" s="17" t="s">
        <x:v>958</x:v>
      </x:c>
      <x:c r="J5" s="17" t="n">
        <x:v>49.9431061</x:v>
      </x:c>
      <x:c r="K5" s="17" t="n">
        <x:v>6.5456072</x:v>
      </x:c>
      <x:c r="L5" s="17" t="n">
        <x:v>620</x:v>
      </x:c>
      <x:c r="M5" s="17" t="s">
        <x:v>959</x:v>
      </x:c>
      <x:c r="N5" s="17" t="s">
        <x:v>38</x:v>
      </x:c>
      <x:c r="O5" s="17"/>
      <x:c r="P5" s="18" t="s">
        <x:v>960</x:v>
      </x:c>
      <x:c r="Q5" s="18" t="s">
        <x:v>961</x:v>
      </x:c>
    </x:row>
    <x:row r="6" ht="35.04999923706055" hidden="0">
      <x:c r="A6" s="17" t="s">
        <x:v>962</x:v>
      </x:c>
      <x:c r="B6" s="17" t="s">
        <x:v>113</x:v>
      </x:c>
      <x:c r="C6" s="17" t="s">
        <x:v>114</x:v>
      </x:c>
      <x:c r="D6" s="17" t="s">
        <x:v>963</x:v>
      </x:c>
      <x:c r="E6" s="17" t="s">
        <x:v>116</x:v>
      </x:c>
      <x:c r="F6" s="17" t="s">
        <x:v>117</x:v>
      </x:c>
      <x:c r="G6" s="17" t="s">
        <x:v>964</x:v>
      </x:c>
      <x:c r="H6" s="17" t="s">
        <x:v>965</x:v>
      </x:c>
      <x:c r="I6" s="17" t="s">
        <x:v>60</x:v>
      </x:c>
      <x:c r="J6" s="17" t="n">
        <x:v>49.2456337</x:v>
      </x:c>
      <x:c r="K6" s="17" t="n">
        <x:v>11.0911607</x:v>
      </x:c>
      <x:c r="L6" s="17" t="n">
        <x:v>280</x:v>
      </x:c>
      <x:c r="M6" s="17" t="s">
        <x:v>966</x:v>
      </x:c>
      <x:c r="N6" s="17" t="s">
        <x:v>24</x:v>
      </x:c>
      <x:c r="O6" s="17"/>
      <x:c r="P6" s="18" t="s">
        <x:v>960</x:v>
      </x:c>
      <x:c r="Q6" s="18" t="s">
        <x:v>967</x:v>
      </x:c>
    </x:row>
    <x:row r="7" ht="35.04999923706055" hidden="0">
      <x:c r="A7" s="17" t="s">
        <x:v>968</x:v>
      </x:c>
      <x:c r="B7" s="17" t="s">
        <x:v>113</x:v>
      </x:c>
      <x:c r="C7" s="17" t="s">
        <x:v>114</x:v>
      </x:c>
      <x:c r="D7" s="17" t="s">
        <x:v>969</x:v>
      </x:c>
      <x:c r="E7" s="17" t="s">
        <x:v>116</x:v>
      </x:c>
      <x:c r="F7" s="17" t="s">
        <x:v>117</x:v>
      </x:c>
      <x:c r="G7" s="17" t="s">
        <x:v>970</x:v>
      </x:c>
      <x:c r="H7" s="17" t="s">
        <x:v>971</x:v>
      </x:c>
      <x:c r="I7" s="17" t="s">
        <x:v>60</x:v>
      </x:c>
      <x:c r="J7" s="17" t="n">
        <x:v>49.2859611</x:v>
      </x:c>
      <x:c r="K7" s="17" t="n">
        <x:v>10.7872985</x:v>
      </x:c>
      <x:c r="L7" s="17" t="n">
        <x:v>24</x:v>
      </x:c>
      <x:c r="M7" s="17" t="s">
        <x:v>966</x:v>
      </x:c>
      <x:c r="N7" s="17" t="s">
        <x:v>24</x:v>
      </x:c>
      <x:c r="O7" s="17"/>
      <x:c r="P7" s="18" t="s">
        <x:v>960</x:v>
      </x:c>
      <x:c r="Q7" s="18" t="s">
        <x:v>972</x:v>
      </x:c>
    </x:row>
    <x:row r="8" ht="46.25" hidden="0">
      <x:c r="A8" s="17" t="s">
        <x:v>973</x:v>
      </x:c>
      <x:c r="B8" s="17" t="s">
        <x:v>16</x:v>
      </x:c>
      <x:c r="C8" s="17" t="s">
        <x:v>17</x:v>
      </x:c>
      <x:c r="D8" s="17" t="s">
        <x:v>974</x:v>
      </x:c>
      <x:c r="E8" s="17" t="s">
        <x:v>19</x:v>
      </x:c>
      <x:c r="F8" s="17" t="s">
        <x:v>20</x:v>
      </x:c>
      <x:c r="G8" s="17" t="s">
        <x:v>975</x:v>
      </x:c>
      <x:c r="H8" s="17" t="s">
        <x:v>976</x:v>
      </x:c>
      <x:c r="I8" s="17" t="s">
        <x:v>977</x:v>
      </x:c>
      <x:c r="J8" s="17" t="n">
        <x:v>51.6308135</x:v>
      </x:c>
      <x:c r="K8" s="17" t="n">
        <x:v>13.5162483</x:v>
      </x:c>
      <x:c r="L8" s="17" t="n">
        <x:v>400</x:v>
      </x:c>
      <x:c r="M8" s="17" t="s">
        <x:v>978</x:v>
      </x:c>
      <x:c r="N8" s="17" t="s">
        <x:v>49</x:v>
      </x:c>
      <x:c r="O8" s="17"/>
      <x:c r="P8" s="18" t="s">
        <x:v>960</x:v>
      </x:c>
      <x:c r="Q8" s="18" t="s">
        <x:v>979</x:v>
      </x:c>
    </x:row>
    <x:row r="9">
      <x:c r="A9" t="str">
        <x:v>DE-HB-03</x:v>
      </x:c>
      <x:c r="B9" t="str">
        <x:v>HB</x:v>
      </x:c>
      <x:c r="C9" t="str">
        <x:v>Bremen</x:v>
      </x:c>
      <x:c r="D9" t="str">
        <x:v>EAE Neues Hulsberg-Viertel</x:v>
      </x:c>
      <x:c r="E9" t="str">
        <x:v>Initial reception facility (EAE)</x:v>
      </x:c>
      <x:c r="F9" t="str">
        <x:v>Senator for Social Affairs, Bremen</x:v>
      </x:c>
      <x:c r="G9" t="str">
        <x:v>Bremen</x:v>
      </x:c>
      <x:c r="H9" t="str">
        <x:v>04011000</x:v>
      </x:c>
      <x:c r="I9" t="str">
        <x:v>Neues Hulsberg-Viertel, Bremen-Ost (Straße unbekannt)</x:v>
      </x:c>
      <x:c r="J9" t="n">
        <x:v>53.0739712</x:v>
      </x:c>
      <x:c r="K9" t="n">
        <x:v>8.8468146</x:v>
      </x:c>
      <x:c r="L9" t="n">
        <x:v>786</x:v>
      </x:c>
      <x:c r="M9" t="str">
        <x:v>https://www.rathaus.bremen.de/sixcms/media.php/13/20250204_top%201_Unterkurnfte_fuer_gefluechtete_Menschen_N.pdf ; https://www.rathaus.bremen.de/sixcms/media.php/13/top%2034_20231205_Zusaetzliche_Unterkuenfte_Unterbringung_Gefluechteter_N.pdf</x:v>
      </x:c>
      <x:c r="N9" t="str">
        <x:v>municipality</x:v>
      </x:c>
      <x:c r="O9" t="str">
        <x:v>Official Bremen Senate documents identify the Hulsberg site as lightweight halls (Leichtbauhallen). The 05.12.2023 Senate paper describes two additional Leichtbauhallen and Versorgungcontainer, bringing the site to max. 786 places; operation was planned through 31.12.2025. The 04.02.2025 Senate paper states that about 786 places at Hulsberg would cease at the end of 2025.</x:v>
      </x:c>
      <x:c r="P9" t="str">
        <x:v>2c — lightweight / emergency accommodation</x:v>
      </x:c>
      <x:c r="Q9" t="str">
        <x:v>Moved from the core set to sensitivity. Official Bremen Senate documents describe the Hulsberg accommodation as Leichtbauhallen (lightweight halls), including two additional halls and service containers. This construction type is treated as temporary/emergency-style accommodation under the project codebook rather than a regular core facility.</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6796875" defaultRowHeight="15"/>
  <x:cols>
    <x:col min="1" max="1" width="14.670000076293945" style="15" hidden="0" customWidth="1"/>
    <x:col min="2" max="2" width="24" style="15" hidden="0" customWidth="1"/>
    <x:col min="3" max="3" width="12" style="15" hidden="0" customWidth="1"/>
    <x:col min="4" max="4" width="34" style="15" hidden="0" customWidth="1"/>
    <x:col min="5" max="5" width="18" style="15" hidden="0" customWidth="1"/>
  </x:cols>
  <x:sheetData>
    <x:row r="1" s="20" customFormat="1" ht="23.25" hidden="0" customHeight="1">
      <x:c r="A1" s="19" t="s">
        <x:v>1</x:v>
      </x:c>
      <x:c r="B1" s="19" t="s">
        <x:v>2</x:v>
      </x:c>
      <x:c r="C1" s="19" t="s">
        <x:v>980</x:v>
      </x:c>
      <x:c r="D1" s="19" t="s">
        <x:v>981</x:v>
      </x:c>
      <x:c r="E1" s="19" t="s">
        <x:v>982</x:v>
      </x:c>
    </x:row>
    <x:row r="2" ht="15" hidden="0" customHeight="1">
      <x:c r="A2" s="21" t="s">
        <x:v>16</x:v>
      </x:c>
      <x:c r="B2" s="21" t="s">
        <x:v>17</x:v>
      </x:c>
      <x:c r="C2" s="21" t="n">
        <x:f aca="0">COUNTIF(Database!$B$2:$B$158,A2)</x:f>
        <x:v>3</x:v>
      </x:c>
      <x:c r="D2" s="21" t="n">
        <x:f aca="0">SUMIFS(Database!$L$2:$L$158,Database!$B$2:$B$158,A2)</x:f>
        <x:v>2085</x:v>
      </x:c>
      <x:c r="E2" s="21" t="n">
        <x:f aca="0">COUNTIFS(Database!$B$2:$B$158,A2,Database!$L$2:$L$158,"=")</x:f>
        <x:v>1</x:v>
      </x:c>
    </x:row>
    <x:row r="3" ht="15" hidden="0" customHeight="1">
      <x:c r="A3" s="21" t="s">
        <x:v>658</x:v>
      </x:c>
      <x:c r="B3" s="21" t="s">
        <x:v>659</x:v>
      </x:c>
      <x:c r="C3" s="21" t="n">
        <x:f aca="0">COUNTIF(Database!$B$2:$B$158,A3)</x:f>
        <x:v>18</x:v>
      </x:c>
      <x:c r="D3" s="21" t="n">
        <x:f aca="0">SUMIFS(Database!$L$2:$L$158,Database!$B$2:$B$158,A3)</x:f>
        <x:v>4612</x:v>
      </x:c>
      <x:c r="E3" s="21" t="n">
        <x:f aca="0">COUNTIFS(Database!$B$2:$B$158,A3,Database!$L$2:$L$158,"=")</x:f>
        <x:v>0</x:v>
      </x:c>
    </x:row>
    <x:row r="4" ht="15" hidden="0" customHeight="1">
      <x:c r="A4" s="21" t="s">
        <x:v>41</x:v>
      </x:c>
      <x:c r="B4" s="21" t="s">
        <x:v>42</x:v>
      </x:c>
      <x:c r="C4" s="21" t="n">
        <x:f aca="0">COUNTIF(Database!$B$2:$B$158,A4)</x:f>
        <x:v>12</x:v>
      </x:c>
      <x:c r="D4" s="21" t="n">
        <x:f aca="0">SUMIFS(Database!$L$2:$L$158,Database!$B$2:$B$158,A4)</x:f>
        <x:v>5925</x:v>
      </x:c>
      <x:c r="E4" s="21" t="n">
        <x:f aca="0">COUNTIFS(Database!$B$2:$B$158,A4,Database!$L$2:$L$158,"=")</x:f>
        <x:v>4</x:v>
      </x:c>
    </x:row>
    <x:row r="5" ht="15" hidden="0" customHeight="1">
      <x:c r="A5" s="21" t="s">
        <x:v>113</x:v>
      </x:c>
      <x:c r="B5" s="21" t="s">
        <x:v>114</x:v>
      </x:c>
      <x:c r="C5" s="21" t="n">
        <x:f aca="0">COUNTIF(Database!$B$2:$B$158,A5)</x:f>
        <x:v>28</x:v>
      </x:c>
      <x:c r="D5" s="21" t="n">
        <x:f aca="0">SUMIFS(Database!$L$2:$L$158,Database!$B$2:$B$158,A5)</x:f>
        <x:v>9633</x:v>
      </x:c>
      <x:c r="E5" s="21" t="n">
        <x:f aca="0">COUNTIFS(Database!$B$2:$B$158,A5,Database!$L$2:$L$158,"=")</x:f>
        <x:v>9</x:v>
      </x:c>
    </x:row>
    <x:row r="6" ht="15" hidden="0" customHeight="1">
      <x:c r="A6" s="21" t="s">
        <x:v>241</x:v>
      </x:c>
      <x:c r="B6" s="21" t="s">
        <x:v>242</x:v>
      </x:c>
      <x:c r="C6" s="21" t="n">
        <x:f aca="0">COUNTIF(Database!$B$2:$B$158,A6)</x:f>
        <x:v>1</x:v>
      </x:c>
      <x:c r="D6" s="21" t="n">
        <x:f aca="0">SUMIFS(Database!$L$2:$L$158,Database!$B$2:$B$158,A6)</x:f>
        <x:v>621</x:v>
      </x:c>
      <x:c r="E6" s="21" t="n">
        <x:f aca="0">COUNTIFS(Database!$B$2:$B$158,A6,Database!$L$2:$L$158,"=")</x:f>
        <x:v>0</x:v>
      </x:c>
    </x:row>
    <x:row r="7" ht="15" hidden="0" customHeight="1">
      <x:c r="A7" s="21" t="s">
        <x:v>250</x:v>
      </x:c>
      <x:c r="B7" s="21" t="s">
        <x:v>251</x:v>
      </x:c>
      <x:c r="C7" s="21" t="n">
        <x:f aca="0">COUNTIF(Database!$B$2:$B$158,A7)</x:f>
        <x:v>9</x:v>
      </x:c>
      <x:c r="D7" s="21" t="n">
        <x:f aca="0">SUMIFS(Database!$L$2:$L$158,Database!$B$2:$B$158,A7)</x:f>
        <x:v>4900</x:v>
      </x:c>
      <x:c r="E7" s="21" t="n">
        <x:f aca="0">COUNTIFS(Database!$B$2:$B$158,A7,Database!$L$2:$L$158,"=")</x:f>
        <x:v>2</x:v>
      </x:c>
    </x:row>
    <x:row r="8" ht="15" hidden="0" customHeight="1">
      <x:c r="A8" s="21" t="s">
        <x:v>284</x:v>
      </x:c>
      <x:c r="B8" s="21" t="s">
        <x:v>285</x:v>
      </x:c>
      <x:c r="C8" s="21" t="n">
        <x:f aca="0">COUNTIF(Database!$B$2:$B$158,A8)</x:f>
        <x:v>7</x:v>
      </x:c>
      <x:c r="D8" s="21" t="n">
        <x:f aca="0">SUMIFS(Database!$L$2:$L$158,Database!$B$2:$B$158,A8)</x:f>
        <x:v>3333</x:v>
      </x:c>
      <x:c r="E8" s="21" t="n">
        <x:f aca="0">COUNTIFS(Database!$B$2:$B$158,A8,Database!$L$2:$L$158,"=")</x:f>
        <x:v>0</x:v>
      </x:c>
    </x:row>
    <x:row r="9" ht="15" hidden="0" customHeight="1">
      <x:c r="A9" s="21" t="s">
        <x:v>322</x:v>
      </x:c>
      <x:c r="B9" s="21" t="s">
        <x:v>323</x:v>
      </x:c>
      <x:c r="C9" s="21" t="n">
        <x:f aca="0">COUNTIF(Database!$B$2:$B$158,A9)</x:f>
        <x:v>2</x:v>
      </x:c>
      <x:c r="D9" s="21" t="n">
        <x:f aca="0">SUMIFS(Database!$L$2:$L$158,Database!$B$2:$B$158,A9)</x:f>
        <x:v>770</x:v>
      </x:c>
      <x:c r="E9" s="21" t="n">
        <x:f aca="0">COUNTIFS(Database!$B$2:$B$158,A9,Database!$L$2:$L$158,"=")</x:f>
        <x:v>1</x:v>
      </x:c>
    </x:row>
    <x:row r="10" ht="15" hidden="0" customHeight="1">
      <x:c r="A10" s="21" t="s">
        <x:v>336</x:v>
      </x:c>
      <x:c r="B10" s="21" t="s">
        <x:v>337</x:v>
      </x:c>
      <x:c r="C10" s="21" t="n">
        <x:f aca="0">COUNTIF(Database!$B$2:$B$158,A10)</x:f>
        <x:v>6</x:v>
      </x:c>
      <x:c r="D10" s="21" t="n">
        <x:f aca="0">SUMIFS(Database!$L$2:$L$158,Database!$B$2:$B$158,A10)</x:f>
        <x:v>3991</x:v>
      </x:c>
      <x:c r="E10" s="21" t="n">
        <x:f aca="0">COUNTIFS(Database!$B$2:$B$158,A10,Database!$L$2:$L$158,"=")</x:f>
        <x:v>0</x:v>
      </x:c>
    </x:row>
    <x:row r="11" ht="15" hidden="0" customHeight="1">
      <x:c r="A11" s="21" t="s">
        <x:v>374</x:v>
      </x:c>
      <x:c r="B11" s="21" t="s">
        <x:v>375</x:v>
      </x:c>
      <x:c r="C11" s="21" t="n">
        <x:f aca="0">COUNTIF(Database!$B$2:$B$158,A11)</x:f>
        <x:v>35</x:v>
      </x:c>
      <x:c r="D11" s="21" t="n">
        <x:f aca="0">SUMIFS(Database!$L$2:$L$158,Database!$B$2:$B$158,A11)</x:f>
        <x:v>26312</x:v>
      </x:c>
      <x:c r="E11" s="21" t="n">
        <x:f aca="0">COUNTIFS(Database!$B$2:$B$158,A11,Database!$L$2:$L$158,"=")</x:f>
        <x:v>0</x:v>
      </x:c>
    </x:row>
    <x:row r="12" ht="15" hidden="0" customHeight="1">
      <x:c r="A12" s="21" t="s">
        <x:v>410</x:v>
      </x:c>
      <x:c r="B12" s="21" t="s">
        <x:v>411</x:v>
      </x:c>
      <x:c r="C12" s="21" t="n">
        <x:f aca="0">COUNTIF(Database!$B$2:$B$158,A12)</x:f>
        <x:v>5</x:v>
      </x:c>
      <x:c r="D12" s="21" t="n">
        <x:f aca="0">SUMIFS(Database!$L$2:$L$158,Database!$B$2:$B$158,A12)</x:f>
        <x:v>4250</x:v>
      </x:c>
      <x:c r="E12" s="21" t="n">
        <x:f aca="0">COUNTIFS(Database!$B$2:$B$158,A12,Database!$L$2:$L$158,"=")</x:f>
        <x:v>0</x:v>
      </x:c>
    </x:row>
    <x:row r="13" ht="15" hidden="0" customHeight="1">
      <x:c r="A13" s="21" t="s">
        <x:v>441</x:v>
      </x:c>
      <x:c r="B13" s="21" t="s">
        <x:v>442</x:v>
      </x:c>
      <x:c r="C13" s="21" t="n">
        <x:f aca="0">COUNTIF(Database!$B$2:$B$158,A13)</x:f>
        <x:v>7</x:v>
      </x:c>
      <x:c r="D13" s="21" t="n">
        <x:f aca="0">SUMIFS(Database!$L$2:$L$158,Database!$B$2:$B$158,A13)</x:f>
        <x:v>7225</x:v>
      </x:c>
      <x:c r="E13" s="21" t="n">
        <x:f aca="0">COUNTIFS(Database!$B$2:$B$158,A13,Database!$L$2:$L$158,"=")</x:f>
        <x:v>0</x:v>
      </x:c>
    </x:row>
    <x:row r="14" ht="15" hidden="0" customHeight="1">
      <x:c r="A14" s="21" t="s">
        <x:v>482</x:v>
      </x:c>
      <x:c r="B14" s="21" t="s">
        <x:v>483</x:v>
      </x:c>
      <x:c r="C14" s="21" t="n">
        <x:f aca="0">COUNTIF(Database!$B$2:$B$158,A14)</x:f>
        <x:v>1</x:v>
      </x:c>
      <x:c r="D14" s="21" t="n">
        <x:f aca="0">SUMIFS(Database!$L$2:$L$158,Database!$B$2:$B$158,A14)</x:f>
        <x:v>0</x:v>
      </x:c>
      <x:c r="E14" s="21" t="n">
        <x:f aca="0">COUNTIFS(Database!$B$2:$B$158,A14,Database!$L$2:$L$158,"=")</x:f>
        <x:v>1</x:v>
      </x:c>
    </x:row>
    <x:row r="15" ht="15" hidden="0" customHeight="1">
      <x:c r="A15" s="21" t="s">
        <x:v>491</x:v>
      </x:c>
      <x:c r="B15" s="21" t="s">
        <x:v>492</x:v>
      </x:c>
      <x:c r="C15" s="21" t="n">
        <x:f aca="0">COUNTIF(Database!$B$2:$B$158,A15)</x:f>
        <x:v>17</x:v>
      </x:c>
      <x:c r="D15" s="21" t="n">
        <x:f aca="0">SUMIFS(Database!$L$2:$L$158,Database!$B$2:$B$158,A15)</x:f>
        <x:v>4020</x:v>
      </x:c>
      <x:c r="E15" s="21" t="n">
        <x:f aca="0">COUNTIFS(Database!$B$2:$B$158,A15,Database!$L$2:$L$158,"=")</x:f>
        <x:v>9</x:v>
      </x:c>
    </x:row>
    <x:row r="16" ht="15" hidden="0" customHeight="1">
      <x:c r="A16" s="21" t="s">
        <x:v>572</x:v>
      </x:c>
      <x:c r="B16" s="21" t="s">
        <x:v>573</x:v>
      </x:c>
      <x:c r="C16" s="21" t="n">
        <x:f aca="0">COUNTIF(Database!$B$2:$B$158,A16)</x:f>
        <x:v>4</x:v>
      </x:c>
      <x:c r="D16" s="21" t="n">
        <x:f aca="0">SUMIFS(Database!$L$2:$L$158,Database!$B$2:$B$158,A16)</x:f>
        <x:v>500</x:v>
      </x:c>
      <x:c r="E16" s="21" t="n">
        <x:f aca="0">COUNTIFS(Database!$B$2:$B$158,A16,Database!$L$2:$L$158,"=")</x:f>
        <x:v>3</x:v>
      </x:c>
    </x:row>
    <x:row r="17" ht="15" hidden="0" customHeight="1">
      <x:c r="A17" s="21" t="s">
        <x:v>602</x:v>
      </x:c>
      <x:c r="B17" s="21" t="s">
        <x:v>603</x:v>
      </x:c>
      <x:c r="C17" s="21" t="n">
        <x:f aca="0">COUNTIF(Database!$B$2:$B$158,A17)</x:f>
        <x:v>2</x:v>
      </x:c>
      <x:c r="D17" s="21" t="n">
        <x:f aca="0">SUMIFS(Database!$L$2:$L$158,Database!$B$2:$B$158,A17)</x:f>
        <x:v>677</x:v>
      </x:c>
      <x:c r="E17" s="21" t="n">
        <x:f aca="0">COUNTIFS(Database!$B$2:$B$158,A17,Database!$L$2:$L$158,"=")</x:f>
        <x:v>0</x:v>
      </x:c>
    </x:row>
    <x:row r="18" ht="15" hidden="0" customHeight="1">
      <x:c r="A18" s="22" t="s">
        <x:v>983</x:v>
      </x:c>
      <x:c r="B18" s="21"/>
      <x:c r="C18" s="22" t="n">
        <x:f aca="0">SUM(C2:C17)</x:f>
        <x:v>157</x:v>
      </x:c>
      <x:c r="D18" s="22" t="n">
        <x:f aca="0">SUM(D2:D17)</x:f>
        <x:v>78854</x:v>
      </x:c>
      <x:c r="E18" s="22" t="n">
        <x:f aca="0">SUM(E2:E17)</x:f>
        <x:v>30</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7" style="15" hidden="0" customWidth="1"/>
    <x:col min="2" max="2" width="60" style="15" hidden="0" customWidth="1"/>
    <x:col min="3" max="3" width="28" style="15" hidden="0" customWidth="1"/>
    <x:col min="4" max="5" width="10" style="15" hidden="0" customWidth="1"/>
    <x:col min="6" max="7" width="11" style="15" hidden="0" customWidth="1"/>
    <x:col min="8" max="9" width="70" style="15" hidden="0" customWidth="1"/>
  </x:cols>
  <x:sheetData>
    <x:row r="1" ht="15" hidden="0" customHeight="1">
      <x:c r="A1" s="23" t="s">
        <x:v>984</x:v>
      </x:c>
      <x:c r="B1" s="23" t="s">
        <x:v>985</x:v>
      </x:c>
      <x:c r="C1" s="23" t="s">
        <x:v>986</x:v>
      </x:c>
      <x:c r="D1" s="23" t="s">
        <x:v>11</x:v>
      </x:c>
      <x:c r="E1" s="23" t="s">
        <x:v>987</x:v>
      </x:c>
      <x:c r="F1" s="23" t="s">
        <x:v>988</x:v>
      </x:c>
      <x:c r="G1" s="23" t="s">
        <x:v>989</x:v>
      </x:c>
      <x:c r="H1" s="23" t="s">
        <x:v>990</x:v>
      </x:c>
      <x:c r="I1" s="23" t="s">
        <x:v>991</x:v>
      </x:c>
    </x:row>
    <x:row r="2" ht="15" hidden="0" customHeight="1">
      <x:c r="A2" s="10" t="s">
        <x:v>658</x:v>
      </x:c>
      <x:c r="B2" s="10" t="s">
        <x:v>992</x:v>
      </x:c>
      <x:c r="C2" s="10" t="s">
        <x:v>993</x:v>
      </x:c>
      <x:c r="D2" s="10" t="n">
        <x:v>5000</x:v>
      </x:c>
      <x:c r="E2" s="10"/>
      <x:c r="F2" s="10" t="s">
        <x:v>994</x:v>
      </x:c>
      <x:c r="G2" s="10" t="s">
        <x:v>995</x:v>
      </x:c>
      <x:c r="H2" s="10" t="s">
        <x:v>996</x:v>
      </x:c>
      <x:c r="I2" s="10" t="s">
        <x:v>997</x:v>
      </x:c>
    </x:row>
    <x:row r="3" ht="15" hidden="0" customHeight="1">
      <x:c r="A3" s="10" t="s">
        <x:v>658</x:v>
      </x:c>
      <x:c r="B3" s="10" t="s">
        <x:v>998</x:v>
      </x:c>
      <x:c r="C3" s="10" t="s">
        <x:v>999</x:v>
      </x:c>
      <x:c r="D3" s="10" t="n">
        <x:v>191</x:v>
      </x:c>
      <x:c r="E3" s="10" t="n">
        <x:v>176</x:v>
      </x:c>
      <x:c r="F3" s="10" t="s">
        <x:v>1000</x:v>
      </x:c>
      <x:c r="G3" s="10" t="s">
        <x:v>1001</x:v>
      </x:c>
      <x:c r="H3" s="10" t="s">
        <x:v>1002</x:v>
      </x:c>
      <x:c r="I3" s="10"/>
    </x:row>
    <x:row r="4" ht="15" hidden="0" customHeight="1">
      <x:c r="A4" s="10" t="s">
        <x:v>658</x:v>
      </x:c>
      <x:c r="B4" s="10" t="s">
        <x:v>1003</x:v>
      </x:c>
      <x:c r="C4" s="10" t="s">
        <x:v>999</x:v>
      </x:c>
      <x:c r="D4" s="10" t="n">
        <x:v>166</x:v>
      </x:c>
      <x:c r="E4" s="10" t="n">
        <x:v>137</x:v>
      </x:c>
      <x:c r="F4" s="10" t="s">
        <x:v>1004</x:v>
      </x:c>
      <x:c r="G4" s="10" t="s">
        <x:v>1001</x:v>
      </x:c>
      <x:c r="H4" s="10" t="s">
        <x:v>1002</x:v>
      </x:c>
      <x:c r="I4" s="10"/>
    </x:row>
    <x:row r="5" ht="15" hidden="0" customHeight="1">
      <x:c r="A5" s="10" t="s">
        <x:v>658</x:v>
      </x:c>
      <x:c r="B5" s="10" t="s">
        <x:v>1005</x:v>
      </x:c>
      <x:c r="C5" s="10" t="s">
        <x:v>999</x:v>
      </x:c>
      <x:c r="D5" s="10" t="n">
        <x:v>50</x:v>
      </x:c>
      <x:c r="E5" s="10" t="n">
        <x:v>46</x:v>
      </x:c>
      <x:c r="F5" s="10" t="s">
        <x:v>1006</x:v>
      </x:c>
      <x:c r="G5" s="10" t="s">
        <x:v>1007</x:v>
      </x:c>
      <x:c r="H5" s="10" t="s">
        <x:v>1002</x:v>
      </x:c>
      <x:c r="I5" s="10"/>
    </x:row>
    <x:row r="6" ht="15" hidden="0" customHeight="1">
      <x:c r="A6" s="10" t="s">
        <x:v>658</x:v>
      </x:c>
      <x:c r="B6" s="10" t="s">
        <x:v>1008</x:v>
      </x:c>
      <x:c r="C6" s="10" t="s">
        <x:v>999</x:v>
      </x:c>
      <x:c r="D6" s="10" t="n">
        <x:v>480</x:v>
      </x:c>
      <x:c r="E6" s="10" t="n">
        <x:v>438</x:v>
      </x:c>
      <x:c r="F6" s="10" t="s">
        <x:v>1009</x:v>
      </x:c>
      <x:c r="G6" s="10" t="s">
        <x:v>1010</x:v>
      </x:c>
      <x:c r="H6" s="10" t="s">
        <x:v>1002</x:v>
      </x:c>
      <x:c r="I6" s="10"/>
    </x:row>
    <x:row r="7" ht="15" hidden="0" customHeight="1">
      <x:c r="A7" s="10" t="s">
        <x:v>658</x:v>
      </x:c>
      <x:c r="B7" s="10" t="s">
        <x:v>1011</x:v>
      </x:c>
      <x:c r="C7" s="10" t="s">
        <x:v>999</x:v>
      </x:c>
      <x:c r="D7" s="10" t="n">
        <x:v>92</x:v>
      </x:c>
      <x:c r="E7" s="10" t="n">
        <x:v>92</x:v>
      </x:c>
      <x:c r="F7" s="10" t="s">
        <x:v>1012</x:v>
      </x:c>
      <x:c r="G7" s="10" t="s">
        <x:v>1013</x:v>
      </x:c>
      <x:c r="H7" s="10" t="s">
        <x:v>1002</x:v>
      </x:c>
      <x:c r="I7" s="10"/>
    </x:row>
    <x:row r="8" ht="15" hidden="0" customHeight="1">
      <x:c r="A8" s="10" t="s">
        <x:v>658</x:v>
      </x:c>
      <x:c r="B8" s="10" t="s">
        <x:v>1014</x:v>
      </x:c>
      <x:c r="C8" s="10" t="s">
        <x:v>1015</x:v>
      </x:c>
      <x:c r="D8" s="10" t="n">
        <x:v>198</x:v>
      </x:c>
      <x:c r="E8" s="10" t="n">
        <x:v>176</x:v>
      </x:c>
      <x:c r="F8" s="10" t="s">
        <x:v>1009</x:v>
      </x:c>
      <x:c r="G8" s="10" t="s">
        <x:v>1001</x:v>
      </x:c>
      <x:c r="H8" s="10" t="s">
        <x:v>1002</x:v>
      </x:c>
      <x:c r="I8" s="10"/>
    </x:row>
    <x:row r="9" ht="15" hidden="0" customHeight="1">
      <x:c r="A9" s="10" t="s">
        <x:v>658</x:v>
      </x:c>
      <x:c r="B9" s="10" t="s">
        <x:v>1016</x:v>
      </x:c>
      <x:c r="C9" s="10" t="s">
        <x:v>1015</x:v>
      </x:c>
      <x:c r="D9" s="10" t="n">
        <x:v>144</x:v>
      </x:c>
      <x:c r="E9" s="10" t="n">
        <x:v>139</x:v>
      </x:c>
      <x:c r="F9" s="10" t="s">
        <x:v>1017</x:v>
      </x:c>
      <x:c r="G9" s="10" t="s">
        <x:v>1018</x:v>
      </x:c>
      <x:c r="H9" s="10" t="s">
        <x:v>1002</x:v>
      </x:c>
      <x:c r="I9" s="10"/>
    </x:row>
    <x:row r="10" ht="15" hidden="0" customHeight="1">
      <x:c r="A10" s="10" t="s">
        <x:v>658</x:v>
      </x:c>
      <x:c r="B10" s="10" t="s">
        <x:v>1019</x:v>
      </x:c>
      <x:c r="C10" s="10" t="s">
        <x:v>1020</x:v>
      </x:c>
      <x:c r="D10" s="10" t="n">
        <x:v>554</x:v>
      </x:c>
      <x:c r="E10" s="10" t="n">
        <x:v>554</x:v>
      </x:c>
      <x:c r="F10" s="10" t="s">
        <x:v>1021</x:v>
      </x:c>
      <x:c r="G10" s="10" t="s">
        <x:v>1001</x:v>
      </x:c>
      <x:c r="H10" s="10" t="s">
        <x:v>1002</x:v>
      </x:c>
      <x:c r="I10" s="10"/>
    </x:row>
    <x:row r="11" ht="15" hidden="0" customHeight="1">
      <x:c r="A11" s="10" t="s">
        <x:v>658</x:v>
      </x:c>
      <x:c r="B11" s="10" t="s">
        <x:v>1022</x:v>
      </x:c>
      <x:c r="C11" s="10" t="s">
        <x:v>1023</x:v>
      </x:c>
      <x:c r="D11" s="10" t="n">
        <x:v>361</x:v>
      </x:c>
      <x:c r="E11" s="10" t="n">
        <x:v>361</x:v>
      </x:c>
      <x:c r="F11" s="10" t="s">
        <x:v>1024</x:v>
      </x:c>
      <x:c r="G11" s="10" t="s">
        <x:v>1001</x:v>
      </x:c>
      <x:c r="H11" s="10" t="s">
        <x:v>1002</x:v>
      </x:c>
      <x:c r="I11" s="10"/>
    </x:row>
    <x:row r="12" ht="15" hidden="0" customHeight="1">
      <x:c r="A12" s="10" t="s">
        <x:v>658</x:v>
      </x:c>
      <x:c r="B12" s="10" t="s">
        <x:v>1025</x:v>
      </x:c>
      <x:c r="C12" s="10" t="s">
        <x:v>1023</x:v>
      </x:c>
      <x:c r="D12" s="10" t="n">
        <x:v>134</x:v>
      </x:c>
      <x:c r="E12" s="10" t="n">
        <x:v>134</x:v>
      </x:c>
      <x:c r="F12" s="10" t="s">
        <x:v>1026</x:v>
      </x:c>
      <x:c r="G12" s="10" t="s">
        <x:v>1001</x:v>
      </x:c>
      <x:c r="H12" s="10" t="s">
        <x:v>1002</x:v>
      </x:c>
      <x:c r="I12" s="10"/>
    </x:row>
    <x:row r="13" ht="15" hidden="0" customHeight="1">
      <x:c r="A13" s="10" t="s">
        <x:v>658</x:v>
      </x:c>
      <x:c r="B13" s="10" t="s">
        <x:v>1027</x:v>
      </x:c>
      <x:c r="C13" s="10" t="s">
        <x:v>1023</x:v>
      </x:c>
      <x:c r="D13" s="10" t="n">
        <x:v>16</x:v>
      </x:c>
      <x:c r="E13" s="10" t="n">
        <x:v>16</x:v>
      </x:c>
      <x:c r="F13" s="10" t="s">
        <x:v>1028</x:v>
      </x:c>
      <x:c r="G13" s="10" t="s">
        <x:v>995</x:v>
      </x:c>
      <x:c r="H13" s="10" t="s">
        <x:v>1002</x:v>
      </x:c>
      <x:c r="I13" s="10"/>
    </x:row>
    <x:row r="14" ht="15" hidden="0" customHeight="1">
      <x:c r="A14" s="10" t="s">
        <x:v>658</x:v>
      </x:c>
      <x:c r="B14" s="10" t="s">
        <x:v>1029</x:v>
      </x:c>
      <x:c r="C14" s="10" t="s">
        <x:v>1030</x:v>
      </x:c>
      <x:c r="D14" s="10" t="n">
        <x:v>900</x:v>
      </x:c>
      <x:c r="E14" s="10" t="n">
        <x:v>767</x:v>
      </x:c>
      <x:c r="F14" s="10" t="s">
        <x:v>1031</x:v>
      </x:c>
      <x:c r="G14" s="10" t="s">
        <x:v>1032</x:v>
      </x:c>
      <x:c r="H14" s="10" t="s">
        <x:v>1002</x:v>
      </x:c>
      <x:c r="I14" s="10"/>
    </x:row>
    <x:row r="15" ht="15" hidden="0" customHeight="1">
      <x:c r="A15" s="10" t="s">
        <x:v>658</x:v>
      </x:c>
      <x:c r="B15" s="10" t="s">
        <x:v>1033</x:v>
      </x:c>
      <x:c r="C15" s="10" t="s">
        <x:v>993</x:v>
      </x:c>
      <x:c r="D15" s="10" t="n">
        <x:v>112</x:v>
      </x:c>
      <x:c r="E15" s="10" t="n">
        <x:v>112</x:v>
      </x:c>
      <x:c r="F15" s="10" t="s">
        <x:v>1034</x:v>
      </x:c>
      <x:c r="G15" s="10" t="s">
        <x:v>1001</x:v>
      </x:c>
      <x:c r="H15" s="10" t="s">
        <x:v>1002</x:v>
      </x:c>
      <x:c r="I15" s="10"/>
    </x:row>
    <x:row r="16" ht="15" hidden="0" customHeight="1">
      <x:c r="A16" s="10" t="s">
        <x:v>658</x:v>
      </x:c>
      <x:c r="B16" s="10" t="s">
        <x:v>1035</x:v>
      </x:c>
      <x:c r="C16" s="10" t="s">
        <x:v>1036</x:v>
      </x:c>
      <x:c r="D16" s="10" t="n">
        <x:v>14</x:v>
      </x:c>
      <x:c r="E16" s="10" t="n">
        <x:v>12</x:v>
      </x:c>
      <x:c r="F16" s="10" t="s">
        <x:v>1037</x:v>
      </x:c>
      <x:c r="G16" s="10" t="s">
        <x:v>995</x:v>
      </x:c>
      <x:c r="H16" s="10" t="s">
        <x:v>1002</x:v>
      </x:c>
      <x:c r="I16" s="10"/>
    </x:row>
    <x:row r="17" ht="15" hidden="0" customHeight="1">
      <x:c r="A17" s="10" t="s">
        <x:v>658</x:v>
      </x:c>
      <x:c r="B17" s="10" t="s">
        <x:v>1038</x:v>
      </x:c>
      <x:c r="C17" s="10" t="s">
        <x:v>1039</x:v>
      </x:c>
      <x:c r="D17" s="10" t="n">
        <x:v>171</x:v>
      </x:c>
      <x:c r="E17" s="10" t="n">
        <x:v>153</x:v>
      </x:c>
      <x:c r="F17" s="10" t="s">
        <x:v>1040</x:v>
      </x:c>
      <x:c r="G17" s="10" t="s">
        <x:v>1041</x:v>
      </x:c>
      <x:c r="H17" s="10" t="s">
        <x:v>1002</x:v>
      </x:c>
      <x:c r="I17" s="10"/>
    </x:row>
    <x:row r="18" ht="15" hidden="0" customHeight="1">
      <x:c r="A18" s="10" t="s">
        <x:v>658</x:v>
      </x:c>
      <x:c r="B18" s="10" t="s">
        <x:v>1042</x:v>
      </x:c>
      <x:c r="C18" s="10" t="s">
        <x:v>1039</x:v>
      </x:c>
      <x:c r="D18" s="10" t="n">
        <x:v>1526</x:v>
      </x:c>
      <x:c r="E18" s="10" t="n">
        <x:v>1460</x:v>
      </x:c>
      <x:c r="F18" s="10" t="s">
        <x:v>1043</x:v>
      </x:c>
      <x:c r="G18" s="10" t="s">
        <x:v>1044</x:v>
      </x:c>
      <x:c r="H18" s="10" t="s">
        <x:v>1002</x:v>
      </x:c>
      <x:c r="I18" s="10"/>
    </x:row>
    <x:row r="19" ht="15" hidden="0" customHeight="1">
      <x:c r="A19" s="10" t="s">
        <x:v>658</x:v>
      </x:c>
      <x:c r="B19" s="10" t="s">
        <x:v>1045</x:v>
      </x:c>
      <x:c r="C19" s="10"/>
      <x:c r="D19" s="10"/>
      <x:c r="E19" s="10"/>
      <x:c r="F19" s="10"/>
      <x:c r="G19" s="10"/>
      <x:c r="H19" s="10"/>
      <x:c r="I19" s="10"/>
    </x:row>
    <x:row r="20" ht="15" hidden="0" customHeight="1">
      <x:c r="A20" s="10" t="s">
        <x:v>374</x:v>
      </x:c>
      <x:c r="B20" s="10" t="s">
        <x:v>1046</x:v>
      </x:c>
      <x:c r="C20" s="10" t="s">
        <x:v>406</x:v>
      </x:c>
      <x:c r="D20" s="10" t="n">
        <x:v>300</x:v>
      </x:c>
      <x:c r="E20" s="10"/>
      <x:c r="F20" s="10"/>
      <x:c r="G20" s="10"/>
      <x:c r="H20" s="10" t="s">
        <x:v>1047</x:v>
      </x:c>
      <x:c r="I20" s="10"/>
    </x:row>
    <x:row r="21" ht="15" hidden="0" customHeight="1">
      <x:c r="A21" s="10" t="s">
        <x:v>374</x:v>
      </x:c>
      <x:c r="B21" s="10" t="s">
        <x:v>1048</x:v>
      </x:c>
      <x:c r="C21" s="10" t="s">
        <x:v>406</x:v>
      </x:c>
      <x:c r="D21" s="10" t="n">
        <x:v>400</x:v>
      </x:c>
      <x:c r="E21" s="10"/>
      <x:c r="F21" s="10"/>
      <x:c r="G21" s="10"/>
      <x:c r="H21" s="10" t="s">
        <x:v>1047</x:v>
      </x:c>
      <x:c r="I21" s="10"/>
    </x:row>
    <x:row r="22" ht="15" hidden="0" customHeight="1">
      <x:c r="A22" s="10" t="s">
        <x:v>374</x:v>
      </x:c>
      <x:c r="B22" s="10" t="s">
        <x:v>1049</x:v>
      </x:c>
      <x:c r="C22" s="10" t="s">
        <x:v>406</x:v>
      </x:c>
      <x:c r="D22" s="10" t="n">
        <x:v>208</x:v>
      </x:c>
      <x:c r="E22" s="10"/>
      <x:c r="F22" s="10"/>
      <x:c r="G22" s="10"/>
      <x:c r="H22" s="10" t="s">
        <x:v>1047</x:v>
      </x:c>
      <x:c r="I22" s="10"/>
    </x:row>
    <x:row r="23" ht="15" hidden="0" customHeight="1">
      <x:c r="A23" s="10" t="s">
        <x:v>374</x:v>
      </x:c>
      <x:c r="B23" s="10" t="s">
        <x:v>1050</x:v>
      </x:c>
      <x:c r="C23" s="10" t="s">
        <x:v>406</x:v>
      </x:c>
      <x:c r="D23" s="10" t="n">
        <x:v>800</x:v>
      </x:c>
      <x:c r="E23" s="10"/>
      <x:c r="F23" s="10"/>
      <x:c r="G23" s="10"/>
      <x:c r="H23" s="10" t="s">
        <x:v>1047</x:v>
      </x:c>
      <x:c r="I23" s="10"/>
    </x:row>
    <x:row r="24" ht="15" hidden="0" customHeight="1">
      <x:c r="A24" s="10" t="s">
        <x:v>374</x:v>
      </x:c>
      <x:c r="B24" s="10" t="s">
        <x:v>1051</x:v>
      </x:c>
      <x:c r="C24" s="10" t="s">
        <x:v>406</x:v>
      </x:c>
      <x:c r="D24" s="10" t="n">
        <x:v>400</x:v>
      </x:c>
      <x:c r="E24" s="10"/>
      <x:c r="F24" s="10"/>
      <x:c r="G24" s="10"/>
      <x:c r="H24" s="10" t="s">
        <x:v>1047</x:v>
      </x:c>
      <x:c r="I24" s="10"/>
    </x:row>
    <x:row r="25" ht="15" hidden="0" customHeight="1">
      <x:c r="A25" s="10" t="s">
        <x:v>374</x:v>
      </x:c>
      <x:c r="B25" s="10" t="s">
        <x:v>1052</x:v>
      </x:c>
      <x:c r="C25" s="10" t="s">
        <x:v>406</x:v>
      </x:c>
      <x:c r="D25" s="10" t="n">
        <x:v>300</x:v>
      </x:c>
      <x:c r="E25" s="10"/>
      <x:c r="F25" s="10"/>
      <x:c r="G25" s="10"/>
      <x:c r="H25" s="10" t="s">
        <x:v>1047</x:v>
      </x:c>
      <x:c r="I25" s="10"/>
    </x:row>
    <x:row r="26" ht="15" hidden="0" customHeight="1">
      <x:c r="A26" s="10" t="s">
        <x:v>374</x:v>
      </x:c>
      <x:c r="B26" s="10" t="s">
        <x:v>1053</x:v>
      </x:c>
      <x:c r="C26" s="10" t="s">
        <x:v>406</x:v>
      </x:c>
      <x:c r="D26" s="10" t="n">
        <x:v>200</x:v>
      </x:c>
      <x:c r="E26" s="10"/>
      <x:c r="F26" s="10"/>
      <x:c r="G26" s="10"/>
      <x:c r="H26" s="10" t="s">
        <x:v>1047</x:v>
      </x:c>
      <x:c r="I26" s="10"/>
    </x:row>
    <x:row r="27" ht="15" hidden="0" customHeight="1">
      <x:c r="A27" s="10" t="s">
        <x:v>374</x:v>
      </x:c>
      <x:c r="B27" s="10" t="s">
        <x:v>1054</x:v>
      </x:c>
      <x:c r="C27" s="10" t="s">
        <x:v>377</x:v>
      </x:c>
      <x:c r="D27" s="10" t="n">
        <x:v>600</x:v>
      </x:c>
      <x:c r="E27" s="10"/>
      <x:c r="F27" s="10"/>
      <x:c r="G27" s="10"/>
      <x:c r="H27" s="10" t="s">
        <x:v>1047</x:v>
      </x:c>
      <x:c r="I27" s="10"/>
    </x:row>
    <x:row r="28" ht="15" hidden="0" customHeight="1">
      <x:c r="A28" s="10" t="s">
        <x:v>374</x:v>
      </x:c>
      <x:c r="B28" s="10" t="s">
        <x:v>1055</x:v>
      </x:c>
      <x:c r="C28" s="10" t="s">
        <x:v>377</x:v>
      </x:c>
      <x:c r="D28" s="10" t="n">
        <x:v>440</x:v>
      </x:c>
      <x:c r="E28" s="10"/>
      <x:c r="F28" s="10"/>
      <x:c r="G28" s="10"/>
      <x:c r="H28" s="10" t="s">
        <x:v>1047</x:v>
      </x:c>
      <x:c r="I28" s="10"/>
    </x:row>
    <x:row r="29" ht="15" hidden="0" customHeight="1">
      <x:c r="A29" s="10" t="s">
        <x:v>374</x:v>
      </x:c>
      <x:c r="B29" s="10" t="s">
        <x:v>1056</x:v>
      </x:c>
      <x:c r="C29" s="10" t="s">
        <x:v>377</x:v>
      </x:c>
      <x:c r="D29" s="10" t="n">
        <x:v>710</x:v>
      </x:c>
      <x:c r="E29" s="10"/>
      <x:c r="F29" s="10"/>
      <x:c r="G29" s="10"/>
      <x:c r="H29" s="10" t="s">
        <x:v>1047</x:v>
      </x:c>
      <x:c r="I29" s="10"/>
    </x:row>
    <x:row r="30" ht="15" hidden="0" customHeight="1">
      <x:c r="A30" s="10" t="s">
        <x:v>374</x:v>
      </x:c>
      <x:c r="B30" s="10" t="s">
        <x:v>1057</x:v>
      </x:c>
      <x:c r="C30" s="10" t="s">
        <x:v>377</x:v>
      </x:c>
      <x:c r="D30" s="10" t="n">
        <x:v>295</x:v>
      </x:c>
      <x:c r="E30" s="10"/>
      <x:c r="F30" s="10"/>
      <x:c r="G30" s="10"/>
      <x:c r="H30" s="10" t="s">
        <x:v>1047</x:v>
      </x:c>
      <x:c r="I30" s="10"/>
    </x:row>
    <x:row r="31" ht="15" hidden="0" customHeight="1">
      <x:c r="A31" s="10" t="s">
        <x:v>374</x:v>
      </x:c>
      <x:c r="B31" s="10" t="s">
        <x:v>1058</x:v>
      </x:c>
      <x:c r="C31" s="10" t="s">
        <x:v>377</x:v>
      </x:c>
      <x:c r="D31" s="10" t="n">
        <x:v>800</x:v>
      </x:c>
      <x:c r="E31" s="10"/>
      <x:c r="F31" s="10"/>
      <x:c r="G31" s="10"/>
      <x:c r="H31" s="10" t="s">
        <x:v>1047</x:v>
      </x:c>
      <x:c r="I31" s="10"/>
    </x:row>
    <x:row r="32" ht="15" hidden="0" customHeight="1">
      <x:c r="A32" s="10" t="s">
        <x:v>374</x:v>
      </x:c>
      <x:c r="B32" s="10" t="s">
        <x:v>1059</x:v>
      </x:c>
      <x:c r="C32" s="10" t="s">
        <x:v>389</x:v>
      </x:c>
      <x:c r="D32" s="10" t="n">
        <x:v>400</x:v>
      </x:c>
      <x:c r="E32" s="10"/>
      <x:c r="F32" s="10"/>
      <x:c r="G32" s="10"/>
      <x:c r="H32" s="10" t="s">
        <x:v>1047</x:v>
      </x:c>
      <x:c r="I32" s="10"/>
    </x:row>
    <x:row r="33" ht="15" hidden="0" customHeight="1">
      <x:c r="A33" s="10" t="s">
        <x:v>374</x:v>
      </x:c>
      <x:c r="B33" s="10" t="s">
        <x:v>1060</x:v>
      </x:c>
      <x:c r="C33" s="10" t="s">
        <x:v>389</x:v>
      </x:c>
      <x:c r="D33" s="10" t="n">
        <x:v>400</x:v>
      </x:c>
      <x:c r="E33" s="10"/>
      <x:c r="F33" s="10"/>
      <x:c r="G33" s="10"/>
      <x:c r="H33" s="10" t="s">
        <x:v>1047</x:v>
      </x:c>
      <x:c r="I33" s="10"/>
    </x:row>
    <x:row r="34" ht="15" hidden="0" customHeight="1">
      <x:c r="A34" s="10" t="s">
        <x:v>374</x:v>
      </x:c>
      <x:c r="B34" s="10" t="s">
        <x:v>1061</x:v>
      </x:c>
      <x:c r="C34" s="10" t="s">
        <x:v>389</x:v>
      </x:c>
      <x:c r="D34" s="10" t="n">
        <x:v>400</x:v>
      </x:c>
      <x:c r="E34" s="10"/>
      <x:c r="F34" s="10"/>
      <x:c r="G34" s="10"/>
      <x:c r="H34" s="10" t="s">
        <x:v>1047</x:v>
      </x:c>
      <x:c r="I34" s="10"/>
    </x:row>
    <x:row r="35" ht="15" hidden="0" customHeight="1">
      <x:c r="A35" s="10" t="s">
        <x:v>374</x:v>
      </x:c>
      <x:c r="B35" s="10" t="s">
        <x:v>1062</x:v>
      </x:c>
      <x:c r="C35" s="10" t="s">
        <x:v>389</x:v>
      </x:c>
      <x:c r="D35" s="10" t="n">
        <x:v>350</x:v>
      </x:c>
      <x:c r="E35" s="10"/>
      <x:c r="F35" s="10"/>
      <x:c r="G35" s="10"/>
      <x:c r="H35" s="10" t="s">
        <x:v>1047</x:v>
      </x:c>
      <x:c r="I35" s="10"/>
    </x:row>
    <x:row r="36" ht="15" hidden="0" customHeight="1">
      <x:c r="A36" s="10" t="s">
        <x:v>374</x:v>
      </x:c>
      <x:c r="B36" s="10" t="s">
        <x:v>1063</x:v>
      </x:c>
      <x:c r="C36" s="10" t="s">
        <x:v>389</x:v>
      </x:c>
      <x:c r="D36" s="10" t="n">
        <x:v>333</x:v>
      </x:c>
      <x:c r="E36" s="10"/>
      <x:c r="F36" s="10"/>
      <x:c r="G36" s="10"/>
      <x:c r="H36" s="10" t="s">
        <x:v>1047</x:v>
      </x:c>
      <x:c r="I36" s="10"/>
    </x:row>
    <x:row r="37" ht="15" hidden="0" customHeight="1">
      <x:c r="A37" s="10" t="s">
        <x:v>374</x:v>
      </x:c>
      <x:c r="B37" s="10" t="s">
        <x:v>1064</x:v>
      </x:c>
      <x:c r="C37" s="10" t="s">
        <x:v>383</x:v>
      </x:c>
      <x:c r="D37" s="10" t="n">
        <x:v>750</x:v>
      </x:c>
      <x:c r="E37" s="10"/>
      <x:c r="F37" s="10"/>
      <x:c r="G37" s="10"/>
      <x:c r="H37" s="10" t="s">
        <x:v>1047</x:v>
      </x:c>
      <x:c r="I37" s="10"/>
    </x:row>
    <x:row r="38" ht="15" hidden="0" customHeight="1">
      <x:c r="A38" s="10" t="s">
        <x:v>374</x:v>
      </x:c>
      <x:c r="B38" s="10" t="s">
        <x:v>1065</x:v>
      </x:c>
      <x:c r="C38" s="10" t="s">
        <x:v>907</x:v>
      </x:c>
      <x:c r="D38" s="10" t="n">
        <x:v>1020</x:v>
      </x:c>
      <x:c r="E38" s="10"/>
      <x:c r="F38" s="10"/>
      <x:c r="G38" s="10"/>
      <x:c r="H38" s="10" t="s">
        <x:v>1047</x:v>
      </x:c>
      <x:c r="I38" s="10"/>
    </x:row>
    <x:row r="39" ht="15" hidden="0" customHeight="1">
      <x:c r="A39" s="10" t="s">
        <x:v>374</x:v>
      </x:c>
      <x:c r="B39" s="10" t="s">
        <x:v>1066</x:v>
      </x:c>
      <x:c r="C39" s="10" t="s">
        <x:v>907</x:v>
      </x:c>
      <x:c r="D39" s="10" t="n">
        <x:v>155</x:v>
      </x:c>
      <x:c r="E39" s="10"/>
      <x:c r="F39" s="10"/>
      <x:c r="G39" s="10"/>
      <x:c r="H39" s="10" t="s">
        <x:v>1047</x:v>
      </x:c>
      <x:c r="I39" s="10"/>
    </x:row>
    <x:row r="40" ht="15" hidden="0" customHeight="1">
      <x:c r="A40" s="10" t="s">
        <x:v>374</x:v>
      </x:c>
      <x:c r="B40" s="10" t="s">
        <x:v>1067</x:v>
      </x:c>
      <x:c r="C40" s="10" t="s">
        <x:v>907</x:v>
      </x:c>
      <x:c r="D40" s="10" t="n">
        <x:v>248</x:v>
      </x:c>
      <x:c r="E40" s="10"/>
      <x:c r="F40" s="10"/>
      <x:c r="G40" s="10"/>
      <x:c r="H40" s="10" t="s">
        <x:v>1047</x:v>
      </x:c>
      <x:c r="I40" s="10"/>
    </x:row>
    <x:row r="41" ht="15" hidden="0" customHeight="1">
      <x:c r="A41" s="10" t="s">
        <x:v>374</x:v>
      </x:c>
      <x:c r="B41" s="10" t="s">
        <x:v>1068</x:v>
      </x:c>
      <x:c r="C41" s="10" t="s">
        <x:v>907</x:v>
      </x:c>
      <x:c r="D41" s="10" t="n">
        <x:v>400</x:v>
      </x:c>
      <x:c r="E41" s="10"/>
      <x:c r="F41" s="10"/>
      <x:c r="G41" s="10"/>
      <x:c r="H41" s="10" t="s">
        <x:v>1047</x:v>
      </x:c>
      <x:c r="I41" s="10"/>
    </x:row>
    <x:row r="42">
      <x:c r="A42" t="str">
        <x:v>HB</x:v>
      </x:c>
      <x:c r="B42" t="str">
        <x:v>EAE Neues Hulsberg-Viertel — Leichtbauhallen, Bremen-Ost</x:v>
      </x:c>
      <x:c r="C42" t="str">
        <x:v>Bremen</x:v>
      </x:c>
      <x:c r="D42" t="n">
        <x:v>786</x:v>
      </x:c>
      <x:c r="E42"/>
      <x:c r="F42"/>
      <x:c r="G42" t="str">
        <x:v>31.12.2025</x:v>
      </x:c>
      <x:c r="H42" t="str">
        <x:v>Bremen Senate 05.12.2023: https://www.rathaus.bremen.de/sixcms/media.php/13/top%2034_20231205_Zusaetzliche_Unterkuenfte_Unterbringung_Gefluechteter_N.pdf ; Bremen Senate 04.02.2025: https://www.rathaus.bremen.de/sixcms/media.php/13/20250204_top%201_Unterkurnfte_fuer_gefluechtete_Menschen_N.pdf</x:v>
      </x:c>
      <x:c r="I42" t="str">
        <x:v>Moved from core to sensitivity in v8. Official Senate documents explicitly describe the site as Leichtbauhallen (lightweight halls); max. capacity 786 and planned operation through 31.12.2025. Excluded from the regular core set under the codebook treatment of temporary/emergency-style structures.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1" hidden="0" customWidth="1"/>
    <x:col min="3" max="3" width="22" hidden="0" customWidth="1"/>
    <x:col min="4" max="4" width="16" hidden="0" customWidth="1"/>
    <x:col min="5" max="5" width="52" hidden="0" customWidth="1"/>
    <x:col min="6" max="6" width="48" hidden="0" customWidth="1"/>
  </x:cols>
  <x:sheetData>
    <x:row r="1">
      <x:c r="A1" s="56" t="str">
        <x:v>Facility_ID</x:v>
      </x:c>
      <x:c r="B1" s="56" t="str">
        <x:v>State_Code</x:v>
      </x:c>
      <x:c r="C1" s="56" t="str">
        <x:v>City</x:v>
      </x:c>
      <x:c r="D1" s="56" t="str">
        <x:v>AGS_Code_added</x:v>
      </x:c>
      <x:c r="E1" s="56" t="str">
        <x:v>Official_source</x:v>
      </x:c>
      <x:c r="F1" s="56" t="str">
        <x:v>Audit_note</x:v>
      </x:c>
    </x:row>
    <x:row r="2">
      <x:c r="A2" s="57" t="str">
        <x:v>DE-HE-08</x:v>
      </x:c>
      <x:c r="B2" s="57" t="str">
        <x:v>HE</x:v>
      </x:c>
      <x:c r="C2" s="57" t="str">
        <x:v>Friedberg (Hessen)</x:v>
      </x:c>
      <x:c r="D2" s="57" t="str">
        <x:v>06440008</x:v>
      </x:c>
      <x:c r="E2" s="57" t="str">
        <x:v>https://www.statistikportal.de/de/gemeindeverzeichnis/06440008</x:v>
      </x:c>
      <x:c r="F2" s="57" t="str">
        <x:v>Filled during AGS audit; official Gemeindeverzeichnis (GV-ISys).</x:v>
      </x:c>
    </x:row>
    <x:row r="3">
      <x:c r="A3" s="57" t="str">
        <x:v>DE-HE-09</x:v>
      </x:c>
      <x:c r="B3" s="57" t="str">
        <x:v>HE</x:v>
      </x:c>
      <x:c r="C3" s="57" t="str">
        <x:v>Bad Arolsen</x:v>
      </x:c>
      <x:c r="D3" s="57" t="str">
        <x:v>06635002</x:v>
      </x:c>
      <x:c r="E3" s="57" t="str">
        <x:v>https://www.statistikportal.de/de/gemeindeverzeichnis/06635002</x:v>
      </x:c>
      <x:c r="F3" s="57" t="str">
        <x:v>Filled during AGS audit; official Gemeindeverzeichnis (GV-ISys).</x:v>
      </x:c>
    </x:row>
    <x:row r="4">
      <x:c r="A4" s="57" t="str">
        <x:v>DE-BY-30</x:v>
      </x:c>
      <x:c r="B4" s="57" t="str">
        <x:v>BY</x:v>
      </x:c>
      <x:c r="C4" s="57" t="str">
        <x:v>Neu-Ulm</x:v>
      </x:c>
      <x:c r="D4" s="57" t="str">
        <x:v>09775135</x:v>
      </x:c>
      <x:c r="E4" s="57" t="str">
        <x:v>https://www.statistikportal.de/de/gemeindeverzeichnis/09775135</x:v>
      </x:c>
      <x:c r="F4" s="57" t="str">
        <x:v>Filled during AGS audit; official Gemeindeverzeichnis (GV-ISys).</x:v>
      </x:c>
    </x:row>
    <x:row r="5">
      <x:c r="A5" s="57" t="str">
        <x:v>DE-NW-Z01</x:v>
      </x:c>
      <x:c r="B5" s="57" t="str">
        <x:v>NW</x:v>
      </x:c>
      <x:c r="C5" s="57" t="str">
        <x:v>Hamm</x:v>
      </x:c>
      <x:c r="D5" s="57" t="str">
        <x:v>05915000</x:v>
      </x:c>
      <x:c r="E5" s="57" t="str">
        <x:v>https://www.statistikportal.de/de/gemeindeverzeichnis/05915000</x:v>
      </x:c>
      <x:c r="F5" s="57" t="str">
        <x:v>Filled during AGS audit; official Gemeindeverzeichnis (GV-ISys).</x:v>
      </x:c>
    </x:row>
    <x:row r="6">
      <x:c r="A6" s="57" t="str">
        <x:v>DE-NW-Z02</x:v>
      </x:c>
      <x:c r="B6" s="57" t="str">
        <x:v>NW</x:v>
      </x:c>
      <x:c r="C6" s="57" t="str">
        <x:v>Möhnesee</x:v>
      </x:c>
      <x:c r="D6" s="57" t="str">
        <x:v>05974032</x:v>
      </x:c>
      <x:c r="E6" s="57" t="str">
        <x:v>https://www.statistikportal.de/de/gemeindeverzeichnis/05974032</x:v>
      </x:c>
      <x:c r="F6" s="57" t="str">
        <x:v>Filled during AGS audit; official Gemeindeverzeichnis (GV-ISys).</x:v>
      </x:c>
    </x:row>
    <x:row r="7">
      <x:c r="A7" s="57" t="str">
        <x:v>DE-NW-Z03</x:v>
      </x:c>
      <x:c r="B7" s="57" t="str">
        <x:v>NW</x:v>
      </x:c>
      <x:c r="C7" s="57" t="str">
        <x:v>Olpe</x:v>
      </x:c>
      <x:c r="D7" s="57" t="str">
        <x:v>05966024</x:v>
      </x:c>
      <x:c r="E7" s="57" t="str">
        <x:v>https://www.statistikportal.de/de/gemeindeverzeichnis/05966024</x:v>
      </x:c>
      <x:c r="F7" s="57" t="str">
        <x:v>Filled during AGS audit; official Gemeindeverzeichnis (GV-ISys).</x:v>
      </x:c>
    </x:row>
    <x:row r="8">
      <x:c r="A8" s="57" t="str">
        <x:v>DE-NW-Z04</x:v>
      </x:c>
      <x:c r="B8" s="57" t="str">
        <x:v>NW</x:v>
      </x:c>
      <x:c r="C8" s="57" t="str">
        <x:v>Soest</x:v>
      </x:c>
      <x:c r="D8" s="57" t="str">
        <x:v>05974040</x:v>
      </x:c>
      <x:c r="E8" s="57" t="str">
        <x:v>https://www.statistikportal.de/de/gemeindeverzeichnis/05974040</x:v>
      </x:c>
      <x:c r="F8" s="57" t="str">
        <x:v>Filled during AGS audit; official Gemeindeverzeichnis (GV-ISys).</x:v>
      </x:c>
    </x:row>
    <x:row r="9">
      <x:c r="A9" s="57" t="str">
        <x:v>DE-NW-Z05</x:v>
      </x:c>
      <x:c r="B9" s="57" t="str">
        <x:v>NW</x:v>
      </x:c>
      <x:c r="C9" s="57" t="str">
        <x:v>Wickede</x:v>
      </x:c>
      <x:c r="D9" s="57" t="str">
        <x:v>05974056</x:v>
      </x:c>
      <x:c r="E9" s="57" t="str">
        <x:v>https://www.statistikportal.de/de/gemeindeverzeichnis/05974056</x:v>
      </x:c>
      <x:c r="F9" s="57" t="str">
        <x:v>Filled during AGS audit; official Gemeindeverzeichnis (GV-ISys).</x:v>
      </x:c>
    </x:row>
    <x:row r="10">
      <x:c r="A10" s="57" t="str">
        <x:v>DE-NW-Z06</x:v>
      </x:c>
      <x:c r="B10" s="57" t="str">
        <x:v>NW</x:v>
      </x:c>
      <x:c r="C10" s="57" t="str">
        <x:v>Bad Driburg</x:v>
      </x:c>
      <x:c r="D10" s="57" t="str">
        <x:v>05762004</x:v>
      </x:c>
      <x:c r="E10" s="57" t="str">
        <x:v>https://www.statistikportal.de/de/gemeindeverzeichnis/05762004</x:v>
      </x:c>
      <x:c r="F10" s="57" t="str">
        <x:v>Filled during AGS audit; official Gemeindeverzeichnis (GV-ISys).</x:v>
      </x:c>
    </x:row>
    <x:row r="11">
      <x:c r="A11" s="57" t="str">
        <x:v>DE-NW-Z07</x:v>
      </x:c>
      <x:c r="B11" s="57" t="str">
        <x:v>NW</x:v>
      </x:c>
      <x:c r="C11" s="57" t="str">
        <x:v>Borgentreich</x:v>
      </x:c>
      <x:c r="D11" s="57" t="str">
        <x:v>05762012</x:v>
      </x:c>
      <x:c r="E11" s="57" t="str">
        <x:v>https://www.statistikportal.de/de/gemeindeverzeichnis/05762012</x:v>
      </x:c>
      <x:c r="F11" s="57" t="str">
        <x:v>Filled during AGS audit; official Gemeindeverzeichnis (GV-ISys).</x:v>
      </x:c>
    </x:row>
    <x:row r="12">
      <x:c r="A12" s="57" t="str">
        <x:v>DE-NW-Z08</x:v>
      </x:c>
      <x:c r="B12" s="57" t="str">
        <x:v>NW</x:v>
      </x:c>
      <x:c r="C12" s="57" t="str">
        <x:v>Herford</x:v>
      </x:c>
      <x:c r="D12" s="57" t="str">
        <x:v>05758012</x:v>
      </x:c>
      <x:c r="E12" s="57" t="str">
        <x:v>https://www.statistikportal.de/de/gemeindeverzeichnis/05758012</x:v>
      </x:c>
      <x:c r="F12" s="57" t="str">
        <x:v>Filled during AGS audit; official Gemeindeverzeichnis (GV-ISys).</x:v>
      </x:c>
    </x:row>
    <x:row r="13">
      <x:c r="A13" s="57" t="str">
        <x:v>DE-NW-Z09</x:v>
      </x:c>
      <x:c r="B13" s="57" t="str">
        <x:v>NW</x:v>
      </x:c>
      <x:c r="C13" s="57" t="str">
        <x:v>Mülheim an der Ruhr</x:v>
      </x:c>
      <x:c r="D13" s="57" t="str">
        <x:v>05117000</x:v>
      </x:c>
      <x:c r="E13" s="57" t="str">
        <x:v>https://www.statistikportal.de/de/gemeindeverzeichnis/05117000</x:v>
      </x:c>
      <x:c r="F13" s="57" t="str">
        <x:v>Filled during AGS audit; official Gemeindeverzeichnis (GV-ISys).</x:v>
      </x:c>
    </x:row>
    <x:row r="14">
      <x:c r="A14" s="57" t="str">
        <x:v>DE-NW-Z10</x:v>
      </x:c>
      <x:c r="B14" s="57" t="str">
        <x:v>NW</x:v>
      </x:c>
      <x:c r="C14" s="57" t="str">
        <x:v>Neuss</x:v>
      </x:c>
      <x:c r="D14" s="57" t="str">
        <x:v>05162024</x:v>
      </x:c>
      <x:c r="E14" s="57" t="str">
        <x:v>https://www.statistikportal.de/de/gemeindeverzeichnis/05162024</x:v>
      </x:c>
      <x:c r="F14" s="57" t="str">
        <x:v>Filled during AGS audit; official Gemeindeverzeichnis (GV-ISys).</x:v>
      </x:c>
    </x:row>
    <x:row r="15">
      <x:c r="A15" s="57" t="str">
        <x:v>DE-NW-Z11</x:v>
      </x:c>
      <x:c r="B15" s="57" t="str">
        <x:v>NW</x:v>
      </x:c>
      <x:c r="C15" s="57" t="str">
        <x:v>Ratingen</x:v>
      </x:c>
      <x:c r="D15" s="57" t="str">
        <x:v>05158028</x:v>
      </x:c>
      <x:c r="E15" s="57" t="str">
        <x:v>https://www.statistikportal.de/de/gemeindeverzeichnis/05158028</x:v>
      </x:c>
      <x:c r="F15" s="57" t="str">
        <x:v>Filled during AGS audit; official Gemeindeverzeichnis (GV-ISys).</x:v>
      </x:c>
    </x:row>
    <x:row r="16">
      <x:c r="A16" s="57" t="str">
        <x:v>DE-NW-Z12</x:v>
      </x:c>
      <x:c r="B16" s="57" t="str">
        <x:v>NW</x:v>
      </x:c>
      <x:c r="C16" s="57" t="str">
        <x:v>Rees</x:v>
      </x:c>
      <x:c r="D16" s="57" t="str">
        <x:v>05154044</x:v>
      </x:c>
      <x:c r="E16" s="57" t="str">
        <x:v>https://www.statistikportal.de/de/gemeindeverzeichnis/05154044</x:v>
      </x:c>
      <x:c r="F16" s="57" t="str">
        <x:v>Filled during AGS audit; official Gemeindeverzeichnis (GV-ISys).</x:v>
      </x:c>
    </x:row>
    <x:row r="17">
      <x:c r="A17" s="57" t="str">
        <x:v>DE-NW-Z13</x:v>
      </x:c>
      <x:c r="B17" s="57" t="str">
        <x:v>NW</x:v>
      </x:c>
      <x:c r="C17" s="57" t="str">
        <x:v>Rees</x:v>
      </x:c>
      <x:c r="D17" s="57" t="str">
        <x:v>05154044</x:v>
      </x:c>
      <x:c r="E17" s="57" t="str">
        <x:v>https://www.statistikportal.de/de/gemeindeverzeichnis/05154044</x:v>
      </x:c>
      <x:c r="F17" s="57" t="str">
        <x:v>Filled during AGS audit; official Gemeindeverzeichnis (GV-ISys).</x:v>
      </x:c>
    </x:row>
    <x:row r="18">
      <x:c r="A18" s="57" t="str">
        <x:v>DE-NW-Z14</x:v>
      </x:c>
      <x:c r="B18" s="57" t="str">
        <x:v>NW</x:v>
      </x:c>
      <x:c r="C18" s="57" t="str">
        <x:v>Rheinberg</x:v>
      </x:c>
      <x:c r="D18" s="57" t="str">
        <x:v>05170032</x:v>
      </x:c>
      <x:c r="E18" s="57" t="str">
        <x:v>https://www.statistikportal.de/de/gemeindeverzeichnis/05170032</x:v>
      </x:c>
      <x:c r="F18" s="57" t="str">
        <x:v>Filled during AGS audit; official Gemeindeverzeichnis (GV-ISys).</x:v>
      </x:c>
    </x:row>
    <x:row r="19">
      <x:c r="A19" s="57" t="str">
        <x:v>DE-NW-Z15</x:v>
      </x:c>
      <x:c r="B19" s="57" t="str">
        <x:v>NW</x:v>
      </x:c>
      <x:c r="C19" s="57" t="str">
        <x:v>Viersen</x:v>
      </x:c>
      <x:c r="D19" s="57" t="str">
        <x:v>05166032</x:v>
      </x:c>
      <x:c r="E19" s="57" t="str">
        <x:v>https://www.statistikportal.de/de/gemeindeverzeichnis/05166032</x:v>
      </x:c>
      <x:c r="F19" s="57" t="str">
        <x:v>Filled during AGS audit; official Gemeindeverzeichnis (GV-ISys).</x:v>
      </x:c>
    </x:row>
    <x:row r="20">
      <x:c r="A20" s="57" t="str">
        <x:v>DE-NW-Z16</x:v>
      </x:c>
      <x:c r="B20" s="57" t="str">
        <x:v>NW</x:v>
      </x:c>
      <x:c r="C20" s="57" t="str">
        <x:v>Weeze</x:v>
      </x:c>
      <x:c r="D20" s="57" t="str">
        <x:v>05154064</x:v>
      </x:c>
      <x:c r="E20" s="57" t="str">
        <x:v>https://www.statistikportal.de/de/gemeindeverzeichnis/05154064</x:v>
      </x:c>
      <x:c r="F20" s="57" t="str">
        <x:v>Filled during AGS audit; official Gemeindeverzeichnis (GV-ISys).</x:v>
      </x:c>
    </x:row>
    <x:row r="21">
      <x:c r="A21" s="57" t="str">
        <x:v>DE-NW-Z17</x:v>
      </x:c>
      <x:c r="B21" s="57" t="str">
        <x:v>NW</x:v>
      </x:c>
      <x:c r="C21" s="57" t="str">
        <x:v>Weeze</x:v>
      </x:c>
      <x:c r="D21" s="57" t="str">
        <x:v>05154064</x:v>
      </x:c>
      <x:c r="E21" s="57" t="str">
        <x:v>https://www.statistikportal.de/de/gemeindeverzeichnis/05154064</x:v>
      </x:c>
      <x:c r="F21" s="57" t="str">
        <x:v>Filled during AGS audit; official Gemeindeverzeichnis (GV-ISys).</x:v>
      </x:c>
    </x:row>
    <x:row r="22">
      <x:c r="A22" s="57" t="str">
        <x:v>DE-NW-Z18</x:v>
      </x:c>
      <x:c r="B22" s="57" t="str">
        <x:v>NW</x:v>
      </x:c>
      <x:c r="C22" s="57" t="str">
        <x:v>Wuppertal</x:v>
      </x:c>
      <x:c r="D22" s="57" t="str">
        <x:v>05124000</x:v>
      </x:c>
      <x:c r="E22" s="57" t="str">
        <x:v>https://www.statistikportal.de/de/gemeindeverzeichnis/05124000</x:v>
      </x:c>
      <x:c r="F22" s="57" t="str">
        <x:v>Filled during AGS audit; official Gemeindeverzeichnis (GV-ISys).</x:v>
      </x:c>
    </x:row>
    <x:row r="23">
      <x:c r="A23" s="57" t="str">
        <x:v>DE-NW-Z19</x:v>
      </x:c>
      <x:c r="B23" s="57" t="str">
        <x:v>NW</x:v>
      </x:c>
      <x:c r="C23" s="57" t="str">
        <x:v>Bonn</x:v>
      </x:c>
      <x:c r="D23" s="57" t="str">
        <x:v>05314000</x:v>
      </x:c>
      <x:c r="E23" s="57" t="str">
        <x:v>https://www.statistikportal.de/de/gemeindeverzeichnis/05314000</x:v>
      </x:c>
      <x:c r="F23" s="57" t="str">
        <x:v>Filled during AGS audit; official Gemeindeverzeichnis (GV-ISys).</x:v>
      </x:c>
    </x:row>
    <x:row r="24">
      <x:c r="A24" s="57" t="str">
        <x:v>DE-NW-Z20</x:v>
      </x:c>
      <x:c r="B24" s="57" t="str">
        <x:v>NW</x:v>
      </x:c>
      <x:c r="C24" s="57" t="str">
        <x:v>Düren</x:v>
      </x:c>
      <x:c r="D24" s="57" t="str">
        <x:v>05358008</x:v>
      </x:c>
      <x:c r="E24" s="57" t="str">
        <x:v>https://www.statistikportal.de/de/gemeindeverzeichnis/05358008</x:v>
      </x:c>
      <x:c r="F24" s="57" t="str">
        <x:v>Filled during AGS audit; official Gemeindeverzeichnis (GV-ISys).</x:v>
      </x:c>
    </x:row>
    <x:row r="25">
      <x:c r="A25" s="57" t="str">
        <x:v>DE-NW-Z21</x:v>
      </x:c>
      <x:c r="B25" s="57" t="str">
        <x:v>NW</x:v>
      </x:c>
      <x:c r="C25" s="57" t="str">
        <x:v>Euskirchen</x:v>
      </x:c>
      <x:c r="D25" s="57" t="str">
        <x:v>05366016</x:v>
      </x:c>
      <x:c r="E25" s="57" t="str">
        <x:v>https://www.statistikportal.de/de/gemeindeverzeichnis/05366016</x:v>
      </x:c>
      <x:c r="F25" s="57" t="str">
        <x:v>Filled during AGS audit; official Gemeindeverzeichnis (GV-ISys).</x:v>
      </x:c>
    </x:row>
    <x:row r="26">
      <x:c r="A26" s="57" t="str">
        <x:v>DE-NW-Z22</x:v>
      </x:c>
      <x:c r="B26" s="57" t="str">
        <x:v>NW</x:v>
      </x:c>
      <x:c r="C26" s="57" t="str">
        <x:v>Leverkusen</x:v>
      </x:c>
      <x:c r="D26" s="57" t="str">
        <x:v>05316000</x:v>
      </x:c>
      <x:c r="E26" s="57" t="str">
        <x:v>https://www.statistikportal.de/de/gemeindeverzeichnis/05316000</x:v>
      </x:c>
      <x:c r="F26" s="57" t="str">
        <x:v>Filled during AGS audit; official Gemeindeverzeichnis (GV-ISys).</x:v>
      </x:c>
    </x:row>
    <x:row r="27">
      <x:c r="A27" s="57" t="str">
        <x:v>DE-NW-Z23</x:v>
      </x:c>
      <x:c r="B27" s="57" t="str">
        <x:v>NW</x:v>
      </x:c>
      <x:c r="C27" s="57" t="str">
        <x:v>Sankt Augustin</x:v>
      </x:c>
      <x:c r="D27" s="57" t="str">
        <x:v>05382056</x:v>
      </x:c>
      <x:c r="E27" s="57" t="str">
        <x:v>https://www.statistikportal.de/de/gemeindeverzeichnis/05382056</x:v>
      </x:c>
      <x:c r="F27" s="57" t="str">
        <x:v>Filled during AGS audit; official Gemeindeverzeichnis (GV-ISys).</x:v>
      </x:c>
    </x:row>
    <x:row r="28">
      <x:c r="A28" s="57" t="str">
        <x:v>DE-NW-Z24</x:v>
      </x:c>
      <x:c r="B28" s="57" t="str">
        <x:v>NW</x:v>
      </x:c>
      <x:c r="C28" s="57" t="str">
        <x:v>Schleiden</x:v>
      </x:c>
      <x:c r="D28" s="57" t="str">
        <x:v>05366036</x:v>
      </x:c>
      <x:c r="E28" s="57" t="str">
        <x:v>https://www.statistikportal.de/de/gemeindeverzeichnis/05366036</x:v>
      </x:c>
      <x:c r="F28" s="57" t="str">
        <x:v>Filled during AGS audit; official Gemeindeverzeichnis (GV-ISys).</x:v>
      </x:c>
    </x:row>
    <x:row r="29">
      <x:c r="A29" s="57" t="str">
        <x:v>DE-NW-Z25</x:v>
      </x:c>
      <x:c r="B29" s="57" t="str">
        <x:v>NW</x:v>
      </x:c>
      <x:c r="C29" s="57" t="str">
        <x:v>Wegberg</x:v>
      </x:c>
      <x:c r="D29" s="57" t="str">
        <x:v>05370040</x:v>
      </x:c>
      <x:c r="E29" s="57" t="str">
        <x:v>https://www.statistikportal.de/de/gemeindeverzeichnis/05370040</x:v>
      </x:c>
      <x:c r="F29" s="57" t="str">
        <x:v>Filled during AGS audit; official Gemeindeverzeichnis (GV-ISys).</x:v>
      </x:c>
    </x:row>
    <x:row r="30">
      <x:c r="A30" s="57" t="str">
        <x:v>DE-NW-Z26</x:v>
      </x:c>
      <x:c r="B30" s="57" t="str">
        <x:v>NW</x:v>
      </x:c>
      <x:c r="C30" s="57" t="str">
        <x:v>Dorsten</x:v>
      </x:c>
      <x:c r="D30" s="57" t="str">
        <x:v>05562012</x:v>
      </x:c>
      <x:c r="E30" s="57" t="str">
        <x:v>https://www.statistikportal.de/de/gemeindeverzeichnis/05562012</x:v>
      </x:c>
      <x:c r="F30" s="57" t="str">
        <x:v>Filled during AGS audit; official Gemeindeverzeichnis (GV-ISys).</x:v>
      </x:c>
    </x:row>
    <x:row r="31">
      <x:c r="A31" s="57" t="str">
        <x:v>DE-NW-Z27</x:v>
      </x:c>
      <x:c r="B31" s="57" t="str">
        <x:v>NW</x:v>
      </x:c>
      <x:c r="C31" s="57" t="str">
        <x:v>Ibbenbüren</x:v>
      </x:c>
      <x:c r="D31" s="57" t="str">
        <x:v>05566028</x:v>
      </x:c>
      <x:c r="E31" s="57" t="str">
        <x:v>https://www.statistikportal.de/de/gemeindeverzeichnis/05566028</x:v>
      </x:c>
      <x:c r="F31" s="57" t="str">
        <x:v>Filled during AGS audit; official Gemeindeverzeichnis (GV-ISys).</x:v>
      </x:c>
    </x:row>
    <x:row r="32">
      <x:c r="A32" s="57" t="str">
        <x:v>DE-NW-Z28</x:v>
      </x:c>
      <x:c r="B32" s="57" t="str">
        <x:v>NW</x:v>
      </x:c>
      <x:c r="C32" s="57" t="str">
        <x:v>Marl</x:v>
      </x:c>
      <x:c r="D32" s="57" t="str">
        <x:v>05562024</x:v>
      </x:c>
      <x:c r="E32" s="57" t="str">
        <x:v>https://www.statistikportal.de/de/gemeindeverzeichnis/05562024</x:v>
      </x:c>
      <x:c r="F32" s="57" t="str">
        <x:v>Filled during AGS audit; official Gemeindeverzeichnis (GV-ISys).</x:v>
      </x:c>
    </x:row>
    <x:row r="33">
      <x:c r="A33" s="57" t="str">
        <x:v>DE-NW-Z29</x:v>
      </x:c>
      <x:c r="B33" s="57" t="str">
        <x:v>NW</x:v>
      </x:c>
      <x:c r="C33" s="57" t="str">
        <x:v>Münster</x:v>
      </x:c>
      <x:c r="D33" s="57" t="str">
        <x:v>05515000</x:v>
      </x:c>
      <x:c r="E33" s="57" t="str">
        <x:v>https://www.statistikportal.de/de/gemeindeverzeichnis/05515000</x:v>
      </x:c>
      <x:c r="F33" s="57" t="str">
        <x:v>Filled during AGS audit; official Gemeindeverzeichnis (GV-ISys).</x:v>
      </x:c>
    </x:row>
    <x:row r="34">
      <x:c r="A34" s="57" t="str">
        <x:v>DE-HE-06</x:v>
      </x:c>
      <x:c r="B34" s="57" t="str">
        <x:v>HE</x:v>
      </x:c>
      <x:c r="C34" s="57" t="str">
        <x:v>Darmstadt</x:v>
      </x:c>
      <x:c r="D34" s="57" t="str">
        <x:v>06411000</x:v>
      </x:c>
      <x:c r="E34" s="57" t="str">
        <x:v>https://www.statistikportal.de/de/gemeindeverzeichnis/06411000</x:v>
      </x:c>
      <x:c r="F34" s="57" t="str">
        <x:v>Normalized from 6411000 to 8-digit AGS text (leading zero restored).</x:v>
      </x:c>
    </x:row>
    <x:row r="35">
      <x:c r="A35" s="57" t="str">
        <x:v>DE-HE-07</x:v>
      </x:c>
      <x:c r="B35" s="57" t="str">
        <x:v>HE</x:v>
      </x:c>
      <x:c r="C35" s="57" t="str">
        <x:v>Darmstadt</x:v>
      </x:c>
      <x:c r="D35" s="57" t="str">
        <x:v>06411000</x:v>
      </x:c>
      <x:c r="E35" s="57" t="str">
        <x:v>https://www.statistikportal.de/de/gemeindeverzeichnis/06411000</x:v>
      </x:c>
      <x:c r="F35" s="57" t="str">
        <x:v>Normalized from 6411000 to 8-digit AGS text (leading zero restored).</x:v>
      </x:c>
    </x:row>
    <x:row r="36">
      <x:c r="A36" s="58" t="str">
        <x:v>DE-BY-29</x:v>
      </x:c>
      <x:c r="B36" s="58" t="str">
        <x:v>BY</x:v>
      </x:c>
      <x:c r="C36" s="57" t="str">
        <x:v>Mering</x:v>
      </x:c>
      <x:c r="D36" s="57" t="str">
        <x:v>09771146</x:v>
      </x:c>
      <x:c r="E36" s="57" t="str">
        <x:v>https://www.statistikportal.de/de/gemeindeverzeichnis/09771146</x:v>
      </x:c>
      <x:c r="F36" s="57" t="str">
        <x:v>Normalized from 9771146 to 8-digit AGS text (leading zero restored).</x:v>
      </x:c>
    </x:row>
    <x:row r="37">
      <x:c r="A37" s="57" t="str">
        <x:v>Database facilities</x:v>
      </x:c>
      <x:c r="B37" s="57" t="n">
        <x:v>157</x:v>
      </x:c>
      <x:c r="C37" s="57"/>
      <x:c r="D37" s="57"/>
      <x:c r="E37" s="57"/>
      <x:c r="F37" s="57"/>
    </x:row>
    <x:row r="38">
      <x:c r="A38" s="57" t="str">
        <x:v>Missing AGS before audit</x:v>
      </x:c>
      <x:c r="B38" s="57" t="n">
        <x:v>32</x:v>
      </x:c>
      <x:c r="C38" s="57"/>
      <x:c r="D38" s="57"/>
      <x:c r="E38" s="57"/>
      <x:c r="F38" s="57"/>
    </x:row>
    <x:row r="39">
      <x:c r="A39" s="60" t="str">
        <x:v>Audit summary</x:v>
      </x:c>
      <x:c r="B39" s="60" t="str">
        <x:v>Value</x:v>
      </x:c>
      <x:c r="C39" s="57"/>
      <x:c r="D39" s="57"/>
      <x:c r="E39" s="57"/>
      <x:c r="F39" s="57"/>
    </x:row>
    <x:row r="40">
      <x:c r="A40" s="57" t="str">
        <x:v>Database facilities</x:v>
      </x:c>
      <x:c r="B40" s="57" t="n">
        <x:v>157</x:v>
      </x:c>
      <x:c r="C40" s="57"/>
      <x:c r="D40" s="57"/>
      <x:c r="E40" s="57"/>
      <x:c r="F40" s="57"/>
    </x:row>
    <x:row r="41">
      <x:c r="A41" s="57" t="str">
        <x:v>Missing AGS before audit</x:v>
      </x:c>
      <x:c r="B41" s="57" t="n">
        <x:v>32</x:v>
      </x:c>
      <x:c r="C41" s="57"/>
      <x:c r="D41" s="57"/>
      <x:c r="E41" s="57"/>
      <x:c r="F41" s="57"/>
    </x:row>
    <x:row r="42">
      <x:c r="A42" t="str">
        <x:v>AGS filled</x:v>
      </x:c>
      <x:c r="B42" t="n">
        <x:v>32</x:v>
      </x:c>
    </x:row>
    <x:row r="43">
      <x:c r="A43" t="str">
        <x:v>Leading-zero normalizations</x:v>
      </x:c>
      <x:c r="B43" t="n">
        <x:v>3</x:v>
      </x:c>
    </x:row>
    <x:row r="44">
      <x:c r="A44" t="str">
        <x:v>Unresolved after audit</x:v>
      </x:c>
      <x:c r="B44" t="n">
        <x:v>0</x:v>
      </x:c>
    </x:row>
  </x:sheetData>
  <x:pageMargins left="0.7" right="0.7" top="0.75" bottom="0.75" header="0.3" footer="0.3"/>
</x:worksheet>
</file>